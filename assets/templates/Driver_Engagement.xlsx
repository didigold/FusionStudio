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oftware\OSM\FusionStudio\assets\templates\"/>
    </mc:Choice>
  </mc:AlternateContent>
  <xr:revisionPtr revIDLastSave="0" documentId="13_ncr:1_{20BA3B7C-8206-466B-B7F6-49CC1F5B6A78}" xr6:coauthVersionLast="47" xr6:coauthVersionMax="47" xr10:uidLastSave="{00000000-0000-0000-0000-000000000000}"/>
  <bookViews>
    <workbookView xWindow="-120" yWindow="-120" windowWidth="29040" windowHeight="15720" tabRatio="780" xr2:uid="{42E38204-476B-4EE6-AEB6-79FBDCB4E45F}"/>
  </bookViews>
  <sheets>
    <sheet name="DISTRACTION" sheetId="1" r:id="rId1"/>
    <sheet name="FATIGUE" sheetId="14" r:id="rId2"/>
    <sheet name="OCCLUSION" sheetId="15" r:id="rId3"/>
    <sheet name="UNRESPONSIVE DRIVER" sheetId="1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4" l="1" a="1"/>
  <c r="C8" i="14" s="1"/>
  <c r="C7" i="14" a="1"/>
  <c r="C7" i="14" s="1"/>
  <c r="C6" i="14" a="1"/>
  <c r="C6" i="14" s="1"/>
  <c r="C5" i="14" a="1"/>
  <c r="C5" i="14" s="1"/>
  <c r="C4" i="14" a="1"/>
  <c r="C4" i="14" s="1"/>
  <c r="D42" i="1" a="1"/>
  <c r="D42" i="1" s="1"/>
  <c r="D32" i="1" a="1"/>
  <c r="D32" i="1" s="1"/>
  <c r="D31" i="1" a="1"/>
  <c r="D31" i="1" s="1"/>
  <c r="D27" i="1" a="1"/>
  <c r="D27" i="1" s="1"/>
  <c r="D23" i="1" a="1"/>
  <c r="D23" i="1" s="1"/>
  <c r="D21" i="1" a="1"/>
  <c r="D21" i="1" s="1"/>
  <c r="D19" i="1" a="1"/>
  <c r="D19" i="1" s="1"/>
  <c r="D16" i="1" a="1"/>
  <c r="D16" i="1" s="1"/>
  <c r="D13" i="1" a="1"/>
  <c r="D13" i="1" s="1"/>
  <c r="D11" i="1" a="1"/>
  <c r="D11" i="1" s="1"/>
  <c r="D9" i="1" a="1"/>
  <c r="D9" i="1" s="1"/>
  <c r="D4" i="1" a="1"/>
  <c r="D4" i="1" s="1"/>
  <c r="N3" i="1"/>
  <c r="K4" i="15"/>
  <c r="I4" i="15"/>
  <c r="G4" i="15"/>
  <c r="K9" i="14"/>
  <c r="K8" i="14"/>
  <c r="K7" i="14"/>
  <c r="K6" i="14"/>
  <c r="K5" i="14"/>
  <c r="K4" i="14"/>
  <c r="L7" i="14" a="1"/>
  <c r="L7" i="14" s="1"/>
  <c r="I9" i="14"/>
  <c r="I8" i="14"/>
  <c r="I7" i="14"/>
  <c r="I6" i="14"/>
  <c r="I5" i="14"/>
  <c r="L5" i="14" s="1" a="1"/>
  <c r="L5" i="14" s="1"/>
  <c r="I4" i="14"/>
  <c r="G5" i="14"/>
  <c r="G9" i="14"/>
  <c r="M9" i="14" s="1"/>
  <c r="G8" i="14"/>
  <c r="G7" i="14"/>
  <c r="G6" i="14"/>
  <c r="G4" i="14"/>
  <c r="L4" i="14" s="1" a="1"/>
  <c r="L4" i="14" s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H18" i="1"/>
  <c r="H17" i="1"/>
  <c r="H16" i="1"/>
  <c r="H15" i="1"/>
  <c r="H14" i="1"/>
  <c r="H13" i="1"/>
  <c r="N13" i="1" s="1"/>
  <c r="H12" i="1"/>
  <c r="H11" i="1"/>
  <c r="H10" i="1"/>
  <c r="H9" i="1"/>
  <c r="H8" i="1"/>
  <c r="H7" i="1"/>
  <c r="H6" i="1"/>
  <c r="H5" i="1"/>
  <c r="H4" i="1"/>
  <c r="N4" i="1" s="1"/>
  <c r="G9" i="15"/>
  <c r="K10" i="15"/>
  <c r="I10" i="15"/>
  <c r="G10" i="15"/>
  <c r="K9" i="15"/>
  <c r="I9" i="15"/>
  <c r="K8" i="15"/>
  <c r="I8" i="15"/>
  <c r="G8" i="15"/>
  <c r="K7" i="15"/>
  <c r="I7" i="15"/>
  <c r="G7" i="15"/>
  <c r="K6" i="15"/>
  <c r="I6" i="15"/>
  <c r="G6" i="15"/>
  <c r="L6" i="15" s="1" a="1"/>
  <c r="L6" i="15" s="1"/>
  <c r="K5" i="15"/>
  <c r="I5" i="15"/>
  <c r="M5" i="15" s="1"/>
  <c r="G5" i="15"/>
  <c r="L4" i="15" a="1"/>
  <c r="L4" i="15" s="1"/>
  <c r="M8" i="14"/>
  <c r="M7" i="14"/>
  <c r="M6" i="14"/>
  <c r="M5" i="14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J45" i="1"/>
  <c r="J44" i="1"/>
  <c r="J43" i="1"/>
  <c r="J42" i="1"/>
  <c r="J41" i="1"/>
  <c r="J40" i="1"/>
  <c r="J39" i="1"/>
  <c r="J38" i="1"/>
  <c r="N38" i="1" s="1"/>
  <c r="J37" i="1"/>
  <c r="N37" i="1" s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N14" i="1"/>
  <c r="N30" i="1" l="1"/>
  <c r="N28" i="1"/>
  <c r="N27" i="1"/>
  <c r="M19" i="1" a="1"/>
  <c r="M19" i="1" s="1"/>
  <c r="N20" i="1"/>
  <c r="N32" i="1"/>
  <c r="N33" i="1"/>
  <c r="N45" i="1"/>
  <c r="N42" i="1"/>
  <c r="N40" i="1"/>
  <c r="N6" i="1"/>
  <c r="N16" i="1"/>
  <c r="L6" i="14" a="1"/>
  <c r="L6" i="14" s="1"/>
  <c r="M4" i="14"/>
  <c r="L8" i="14" a="1"/>
  <c r="L8" i="14" s="1"/>
  <c r="N8" i="1"/>
  <c r="N9" i="1"/>
  <c r="M9" i="15"/>
  <c r="L5" i="15" a="1"/>
  <c r="L5" i="15" s="1"/>
  <c r="L9" i="15" a="1"/>
  <c r="L9" i="15" s="1"/>
  <c r="M10" i="15"/>
  <c r="M7" i="15"/>
  <c r="M6" i="15"/>
  <c r="L8" i="15" a="1"/>
  <c r="L8" i="15" s="1"/>
  <c r="M4" i="15"/>
  <c r="M8" i="15"/>
  <c r="L7" i="15" a="1"/>
  <c r="L7" i="15" s="1"/>
  <c r="L10" i="15" a="1"/>
  <c r="L10" i="15" s="1"/>
  <c r="N29" i="1"/>
  <c r="N17" i="1"/>
  <c r="N18" i="1"/>
  <c r="M4" i="1" a="1"/>
  <c r="M4" i="1" s="1"/>
  <c r="N41" i="1"/>
  <c r="M16" i="1" a="1"/>
  <c r="M16" i="1" s="1"/>
  <c r="M42" i="1" a="1"/>
  <c r="M42" i="1" s="1"/>
  <c r="M27" i="1" a="1"/>
  <c r="M27" i="1" s="1"/>
  <c r="N7" i="1"/>
  <c r="N43" i="1"/>
  <c r="N44" i="1"/>
  <c r="N5" i="1"/>
  <c r="N19" i="1"/>
  <c r="N31" i="1"/>
  <c r="N10" i="1"/>
  <c r="N11" i="1"/>
  <c r="N12" i="1"/>
  <c r="N36" i="1"/>
  <c r="M31" i="1" a="1"/>
  <c r="M31" i="1" s="1"/>
  <c r="M21" i="1" a="1"/>
  <c r="M21" i="1" s="1"/>
  <c r="N34" i="1"/>
  <c r="N23" i="1"/>
  <c r="N35" i="1"/>
  <c r="N24" i="1"/>
  <c r="N25" i="1"/>
  <c r="M13" i="1" a="1"/>
  <c r="M13" i="1" s="1"/>
  <c r="N26" i="1"/>
  <c r="N15" i="1"/>
  <c r="N39" i="1"/>
  <c r="N21" i="1"/>
  <c r="M23" i="1" a="1"/>
  <c r="M23" i="1" s="1"/>
  <c r="M11" i="1" a="1"/>
  <c r="M11" i="1" s="1"/>
  <c r="M9" i="1" a="1"/>
  <c r="M9" i="1" s="1"/>
  <c r="M32" i="1" a="1"/>
  <c r="M32" i="1" s="1"/>
  <c r="N22" i="1"/>
  <c r="M3" i="15" l="1"/>
  <c r="M3" i="14"/>
  <c r="I13" i="13" l="1"/>
  <c r="G13" i="13"/>
  <c r="E13" i="13"/>
  <c r="I10" i="13"/>
  <c r="G10" i="13"/>
  <c r="E10" i="13"/>
  <c r="I7" i="13"/>
  <c r="G7" i="13"/>
  <c r="E7" i="13"/>
  <c r="I4" i="13"/>
  <c r="G4" i="13"/>
  <c r="E4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<sst xmlns="http://schemas.openxmlformats.org/spreadsheetml/2006/main" count="237" uniqueCount="127">
  <si>
    <t>Long Distraction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</si>
  <si>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</si>
  <si>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</si>
  <si>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</si>
  <si>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</si>
  <si>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</si>
  <si>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</si>
  <si>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</si>
  <si>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</si>
  <si>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</si>
  <si>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Driving task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</si>
  <si>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</si>
  <si>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</si>
  <si>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</si>
  <si>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</si>
  <si>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</si>
  <si>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</si>
  <si>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</si>
  <si>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</si>
  <si>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</si>
  <si>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</si>
  <si>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</si>
  <si>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</si>
  <si>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</si>
  <si>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</si>
  <si>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</si>
  <si>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</si>
  <si>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</si>
  <si>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</si>
  <si>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</si>
  <si>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</si>
  <si>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</si>
  <si>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</si>
  <si>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</si>
  <si>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</si>
  <si>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</si>
  <si>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D39</t>
  </si>
  <si>
    <t>D40</t>
  </si>
  <si>
    <t>D35</t>
  </si>
  <si>
    <t>D36</t>
  </si>
  <si>
    <t>D37</t>
  </si>
  <si>
    <t>D38</t>
  </si>
  <si>
    <t>D41</t>
  </si>
  <si>
    <t>D42</t>
  </si>
  <si>
    <t>Scenario</t>
  </si>
  <si>
    <t>P01</t>
  </si>
  <si>
    <t>P02</t>
  </si>
  <si>
    <t>P03</t>
  </si>
  <si>
    <t>P04</t>
  </si>
  <si>
    <t>Repetition 1</t>
  </si>
  <si>
    <t>Repetition 2</t>
  </si>
  <si>
    <t>Repetition 3</t>
  </si>
  <si>
    <t>Sensitivity [%]</t>
  </si>
  <si>
    <t>Non-driving task (NDT)</t>
  </si>
  <si>
    <t>O</t>
  </si>
  <si>
    <t>L</t>
  </si>
  <si>
    <t>BL</t>
  </si>
  <si>
    <t>Short Distraction (VATS)</t>
  </si>
  <si>
    <t>Phone Use</t>
  </si>
  <si>
    <t>Basic</t>
  </si>
  <si>
    <t>Remarks</t>
  </si>
  <si>
    <t>Warning Timer</t>
  </si>
  <si>
    <t>F1</t>
  </si>
  <si>
    <t>F4</t>
  </si>
  <si>
    <t>Unresponsive driver</t>
  </si>
  <si>
    <t>Score</t>
  </si>
  <si>
    <t>MLOC</t>
  </si>
  <si>
    <t>D_XX</t>
  </si>
  <si>
    <t>Adv.</t>
  </si>
  <si>
    <t>Task score</t>
  </si>
  <si>
    <t>F2</t>
  </si>
  <si>
    <t>F5</t>
  </si>
  <si>
    <t>TPR</t>
  </si>
  <si>
    <t>Mov. Type</t>
  </si>
  <si>
    <t>Distr. Type</t>
  </si>
  <si>
    <t>Twarn</t>
  </si>
  <si>
    <t>Driver State</t>
  </si>
  <si>
    <t>IMP</t>
  </si>
  <si>
    <t>MSL</t>
  </si>
  <si>
    <t>SLE</t>
  </si>
  <si>
    <t>UR</t>
  </si>
  <si>
    <t>DRO</t>
  </si>
  <si>
    <t>NO-FAT</t>
  </si>
  <si>
    <t>Item score</t>
  </si>
  <si>
    <t>TC</t>
  </si>
  <si>
    <t>F3</t>
  </si>
  <si>
    <t>DST</t>
  </si>
  <si>
    <t>F6</t>
  </si>
  <si>
    <t>Block</t>
  </si>
  <si>
    <t>ID</t>
  </si>
  <si>
    <t>Occ</t>
  </si>
  <si>
    <t>DIST</t>
  </si>
  <si>
    <t>LD</t>
  </si>
  <si>
    <t>SD</t>
  </si>
  <si>
    <t>PU</t>
  </si>
  <si>
    <t>FATIGUE</t>
  </si>
  <si>
    <t>Code</t>
  </si>
  <si>
    <t>Item</t>
  </si>
  <si>
    <t>Sunglasses</t>
  </si>
  <si>
    <t>O5</t>
  </si>
  <si>
    <t>Facemask</t>
  </si>
  <si>
    <t>O9</t>
  </si>
  <si>
    <t>Cap</t>
  </si>
  <si>
    <t>O10</t>
  </si>
  <si>
    <t>NDT</t>
  </si>
  <si>
    <t>Sensitivity</t>
  </si>
  <si>
    <t>Driver side window</t>
  </si>
  <si>
    <t>Passenger side window</t>
  </si>
  <si>
    <t>Passenger footwell</t>
  </si>
  <si>
    <t>Passenger face</t>
  </si>
  <si>
    <t>IVIS</t>
  </si>
  <si>
    <t>Glovebox</t>
  </si>
  <si>
    <t>Rear passenger</t>
  </si>
  <si>
    <t>Rear view mirror</t>
  </si>
  <si>
    <t>Passenger side mirror</t>
  </si>
  <si>
    <t>Driver side mirror</t>
  </si>
  <si>
    <t>Instrument cluster</t>
  </si>
  <si>
    <t>Combination of NDT</t>
  </si>
  <si>
    <t>Driver knee outboard</t>
  </si>
  <si>
    <t>Driver knee inboard</t>
  </si>
  <si>
    <t>Driver lap</t>
  </si>
  <si>
    <t>Phone mounted on dashboard outboard</t>
  </si>
  <si>
    <t>Phone in charte port</t>
  </si>
  <si>
    <t>Phone held centre of steering wheel</t>
  </si>
  <si>
    <t>Phone held in 13-15 o'clock</t>
  </si>
  <si>
    <t>Phone held in view of windscreen</t>
  </si>
  <si>
    <t>Phone held in view of instrument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</si>
</sst>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Bahnschrift"/>
      <family val="2"/>
    </font>
    <font>
      <b/>
      <sz val="10"/>
      <color theme="1"/>
      <name val="Bahnschrift"/>
      <family val="2"/>
    </font>
    <font>
      <b/>
      <sz val="14"/>
      <color theme="1"/>
      <name val="Bahnschrift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auto="1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28" applyNumberFormat="0" applyFill="0" applyAlignment="0" applyProtection="0"/>
    <xf numFmtId="0" fontId="8" fillId="0" borderId="29" applyNumberFormat="0" applyFill="0" applyAlignment="0" applyProtection="0"/>
    <xf numFmtId="0" fontId="9" fillId="0" borderId="30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31" applyNumberFormat="0" applyAlignment="0" applyProtection="0"/>
    <xf numFmtId="0" fontId="12" fillId="6" borderId="32" applyNumberFormat="0" applyAlignment="0" applyProtection="0"/>
    <xf numFmtId="0" fontId="13" fillId="6" borderId="31" applyNumberFormat="0" applyAlignment="0" applyProtection="0"/>
    <xf numFmtId="0" fontId="14" fillId="0" borderId="33" applyNumberFormat="0" applyFill="0" applyAlignment="0" applyProtection="0"/>
    <xf numFmtId="0" fontId="15" fillId="7" borderId="34" applyNumberFormat="0" applyAlignment="0" applyProtection="0"/>
    <xf numFmtId="0" fontId="16" fillId="0" borderId="0" applyNumberFormat="0" applyFill="0" applyBorder="0" applyAlignment="0" applyProtection="0"/>
    <xf numFmtId="0" fontId="1" fillId="8" borderId="35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36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1">
    <xf numFmtId="0" fontId="0" fillId="0" borderId="0" xfId="0"/>
    <xf numFmtId="0" fontId="22" fillId="33" borderId="0" xfId="0" applyFont="1" applyFill="1"/>
    <xf numFmtId="0" fontId="19" fillId="34" borderId="0" xfId="0" applyFont="1" applyFill="1"/>
    <xf numFmtId="0" fontId="19" fillId="33" borderId="0" xfId="0" applyFont="1" applyFill="1"/>
    <xf numFmtId="0" fontId="21" fillId="34" borderId="37" xfId="0" applyFont="1" applyFill="1" applyBorder="1" applyAlignment="1">
      <alignment wrapText="1"/>
    </xf>
    <xf numFmtId="0" fontId="21" fillId="34" borderId="10" xfId="0" applyFont="1" applyFill="1" applyBorder="1"/>
    <xf numFmtId="0" fontId="21" fillId="34" borderId="53" xfId="0" applyFont="1" applyFill="1" applyBorder="1" applyAlignment="1">
      <alignment wrapText="1"/>
    </xf>
    <xf numFmtId="0" fontId="21" fillId="34" borderId="54" xfId="0" applyFont="1" applyFill="1" applyBorder="1"/>
    <xf numFmtId="0" fontId="20" fillId="0" borderId="62" xfId="0" quotePrefix="1" applyFont="1" applyBorder="1" applyAlignment="1">
      <alignment horizontal="left"/>
    </xf>
    <xf numFmtId="0" fontId="20" fillId="0" borderId="59" xfId="0" applyFont="1" applyBorder="1" applyAlignment="1">
      <alignment horizontal="left"/>
    </xf>
    <xf numFmtId="0" fontId="20" fillId="0" borderId="6" xfId="0" quotePrefix="1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63" xfId="0" quotePrefix="1" applyFont="1" applyBorder="1" applyAlignment="1">
      <alignment horizontal="left"/>
    </xf>
    <xf numFmtId="0" fontId="21" fillId="34" borderId="0" xfId="0" applyFont="1" applyFill="1"/>
    <xf numFmtId="0" fontId="21" fillId="34" borderId="38" xfId="0" applyFont="1" applyFill="1" applyBorder="1" applyAlignment="1">
      <alignment wrapText="1"/>
    </xf>
    <xf numFmtId="0" fontId="21" fillId="34" borderId="5" xfId="0" applyFont="1" applyFill="1" applyBorder="1" applyAlignment="1">
      <alignment wrapText="1"/>
    </xf>
    <xf numFmtId="0" fontId="20" fillId="0" borderId="38" xfId="0" quotePrefix="1" applyFont="1" applyBorder="1" applyAlignment="1">
      <alignment horizontal="left"/>
    </xf>
    <xf numFmtId="0" fontId="20" fillId="0" borderId="61" xfId="0" applyFont="1" applyBorder="1" applyAlignment="1">
      <alignment horizontal="left"/>
    </xf>
    <xf numFmtId="0" fontId="20" fillId="0" borderId="53" xfId="0" quotePrefix="1" applyFont="1" applyBorder="1" applyAlignment="1">
      <alignment horizontal="left"/>
    </xf>
    <xf numFmtId="0" fontId="21" fillId="34" borderId="62" xfId="0" applyFont="1" applyFill="1" applyBorder="1" applyAlignment="1">
      <alignment wrapText="1"/>
    </xf>
    <xf numFmtId="0" fontId="21" fillId="34" borderId="55" xfId="0" applyFont="1" applyFill="1" applyBorder="1"/>
    <xf numFmtId="0" fontId="21" fillId="34" borderId="19" xfId="0" applyFont="1" applyFill="1" applyBorder="1"/>
    <xf numFmtId="0" fontId="20" fillId="0" borderId="64" xfId="0" applyFont="1" applyBorder="1" applyAlignment="1">
      <alignment horizontal="left"/>
    </xf>
    <xf numFmtId="0" fontId="20" fillId="0" borderId="51" xfId="0" applyFont="1" applyBorder="1" applyAlignment="1">
      <alignment horizontal="left"/>
    </xf>
    <xf numFmtId="0" fontId="23" fillId="33" borderId="0" xfId="0" applyFont="1" applyFill="1"/>
    <xf numFmtId="0" fontId="22" fillId="34" borderId="19" xfId="0" applyFont="1" applyFill="1" applyBorder="1"/>
    <xf numFmtId="0" fontId="22" fillId="34" borderId="25" xfId="0" applyFont="1" applyFill="1" applyBorder="1"/>
    <xf numFmtId="0" fontId="22" fillId="34" borderId="14" xfId="0" applyFont="1" applyFill="1" applyBorder="1"/>
    <xf numFmtId="0" fontId="22" fillId="34" borderId="26" xfId="0" applyFont="1" applyFill="1" applyBorder="1"/>
    <xf numFmtId="0" fontId="24" fillId="0" borderId="0" xfId="0" applyFont="1"/>
    <xf numFmtId="0" fontId="24" fillId="0" borderId="0" xfId="0" applyFont="1" applyAlignment="1">
      <alignment horizontal="left" vertical="center"/>
    </xf>
    <xf numFmtId="0" fontId="25" fillId="34" borderId="11" xfId="0" applyFont="1" applyFill="1" applyBorder="1" applyAlignment="1">
      <alignment horizontal="left" vertical="center" wrapText="1"/>
    </xf>
    <xf numFmtId="2" fontId="24" fillId="0" borderId="68" xfId="0" applyNumberFormat="1" applyFont="1" applyBorder="1" applyAlignment="1">
      <alignment horizontal="left" vertical="center"/>
    </xf>
    <xf numFmtId="2" fontId="24" fillId="0" borderId="3" xfId="0" applyNumberFormat="1" applyFont="1" applyBorder="1" applyAlignment="1">
      <alignment horizontal="left" vertical="center"/>
    </xf>
    <xf numFmtId="9" fontId="24" fillId="0" borderId="4" xfId="0" applyNumberFormat="1" applyFont="1" applyBorder="1" applyAlignment="1">
      <alignment horizontal="left" vertical="center"/>
    </xf>
    <xf numFmtId="9" fontId="24" fillId="0" borderId="60" xfId="0" applyNumberFormat="1" applyFont="1" applyBorder="1" applyAlignment="1">
      <alignment horizontal="left" vertical="center"/>
    </xf>
    <xf numFmtId="9" fontId="24" fillId="0" borderId="73" xfId="0" applyNumberFormat="1" applyFont="1" applyBorder="1" applyAlignment="1">
      <alignment horizontal="left" vertical="center"/>
    </xf>
    <xf numFmtId="0" fontId="25" fillId="34" borderId="12" xfId="0" applyFont="1" applyFill="1" applyBorder="1" applyAlignment="1">
      <alignment horizontal="left" vertical="center" wrapText="1"/>
    </xf>
    <xf numFmtId="2" fontId="24" fillId="0" borderId="63" xfId="0" applyNumberFormat="1" applyFont="1" applyBorder="1" applyAlignment="1">
      <alignment horizontal="left" vertical="center"/>
    </xf>
    <xf numFmtId="2" fontId="24" fillId="0" borderId="7" xfId="0" applyNumberFormat="1" applyFont="1" applyBorder="1" applyAlignment="1">
      <alignment horizontal="left" vertical="center"/>
    </xf>
    <xf numFmtId="9" fontId="24" fillId="0" borderId="8" xfId="0" applyNumberFormat="1" applyFont="1" applyBorder="1" applyAlignment="1">
      <alignment horizontal="left" vertical="center"/>
    </xf>
    <xf numFmtId="9" fontId="24" fillId="0" borderId="10" xfId="0" applyNumberFormat="1" applyFont="1" applyBorder="1" applyAlignment="1">
      <alignment horizontal="left" vertical="center"/>
    </xf>
    <xf numFmtId="9" fontId="24" fillId="0" borderId="49" xfId="0" applyNumberFormat="1" applyFont="1" applyBorder="1" applyAlignment="1">
      <alignment horizontal="left" vertical="center"/>
    </xf>
    <xf numFmtId="9" fontId="24" fillId="0" borderId="61" xfId="0" applyNumberFormat="1" applyFont="1" applyBorder="1" applyAlignment="1">
      <alignment horizontal="left" vertical="center"/>
    </xf>
    <xf numFmtId="9" fontId="24" fillId="0" borderId="54" xfId="0" applyNumberFormat="1" applyFont="1" applyBorder="1" applyAlignment="1">
      <alignment horizontal="left" vertical="center"/>
    </xf>
    <xf numFmtId="0" fontId="25" fillId="34" borderId="27" xfId="0" applyFont="1" applyFill="1" applyBorder="1" applyAlignment="1">
      <alignment vertical="center" textRotation="90" wrapText="1"/>
    </xf>
    <xf numFmtId="2" fontId="24" fillId="0" borderId="75" xfId="0" applyNumberFormat="1" applyFont="1" applyBorder="1" applyAlignment="1">
      <alignment horizontal="left" vertical="center"/>
    </xf>
    <xf numFmtId="9" fontId="24" fillId="0" borderId="81" xfId="0" applyNumberFormat="1" applyFont="1" applyBorder="1" applyAlignment="1">
      <alignment horizontal="left" vertical="center"/>
    </xf>
    <xf numFmtId="9" fontId="24" fillId="0" borderId="80" xfId="0" applyNumberFormat="1" applyFont="1" applyBorder="1" applyAlignment="1">
      <alignment horizontal="left" vertical="center"/>
    </xf>
    <xf numFmtId="9" fontId="24" fillId="0" borderId="18" xfId="0" applyNumberFormat="1" applyFont="1" applyBorder="1" applyAlignment="1">
      <alignment horizontal="left" vertical="center"/>
    </xf>
    <xf numFmtId="0" fontId="25" fillId="34" borderId="15" xfId="0" applyFont="1" applyFill="1" applyBorder="1" applyAlignment="1">
      <alignment horizontal="left" vertical="center" wrapText="1"/>
    </xf>
    <xf numFmtId="2" fontId="25" fillId="0" borderId="75" xfId="0" applyNumberFormat="1" applyFont="1" applyBorder="1" applyAlignment="1">
      <alignment horizontal="center" vertical="center"/>
    </xf>
    <xf numFmtId="0" fontId="25" fillId="34" borderId="11" xfId="0" applyFont="1" applyFill="1" applyBorder="1" applyAlignment="1">
      <alignment vertical="center" wrapText="1"/>
    </xf>
    <xf numFmtId="9" fontId="26" fillId="0" borderId="15" xfId="0" applyNumberFormat="1" applyFont="1" applyBorder="1" applyAlignment="1">
      <alignment horizontal="left" vertical="center" wrapText="1"/>
    </xf>
    <xf numFmtId="0" fontId="24" fillId="34" borderId="0" xfId="0" applyFont="1" applyFill="1"/>
    <xf numFmtId="9" fontId="25" fillId="34" borderId="0" xfId="0" applyNumberFormat="1" applyFont="1" applyFill="1" applyAlignment="1">
      <alignment horizontal="left"/>
    </xf>
    <xf numFmtId="9" fontId="24" fillId="0" borderId="88" xfId="0" applyNumberFormat="1" applyFont="1" applyBorder="1" applyAlignment="1">
      <alignment horizontal="left" vertical="center"/>
    </xf>
    <xf numFmtId="9" fontId="24" fillId="0" borderId="89" xfId="0" applyNumberFormat="1" applyFont="1" applyBorder="1" applyAlignment="1">
      <alignment horizontal="left" vertical="center"/>
    </xf>
    <xf numFmtId="2" fontId="25" fillId="0" borderId="45" xfId="0" applyNumberFormat="1" applyFont="1" applyBorder="1" applyAlignment="1">
      <alignment horizontal="center" vertical="center"/>
    </xf>
    <xf numFmtId="0" fontId="24" fillId="34" borderId="47" xfId="0" applyFont="1" applyFill="1" applyBorder="1"/>
    <xf numFmtId="0" fontId="25" fillId="34" borderId="26" xfId="0" applyFont="1" applyFill="1" applyBorder="1" applyAlignment="1">
      <alignment vertical="center" wrapText="1"/>
    </xf>
    <xf numFmtId="2" fontId="24" fillId="0" borderId="58" xfId="0" applyNumberFormat="1" applyFont="1" applyBorder="1" applyAlignment="1">
      <alignment horizontal="left" vertical="center"/>
    </xf>
    <xf numFmtId="9" fontId="24" fillId="0" borderId="90" xfId="0" applyNumberFormat="1" applyFont="1" applyBorder="1" applyAlignment="1">
      <alignment horizontal="left" vertical="center"/>
    </xf>
    <xf numFmtId="0" fontId="25" fillId="34" borderId="27" xfId="0" applyFont="1" applyFill="1" applyBorder="1" applyAlignment="1">
      <alignment horizontal="left" vertical="center" wrapText="1"/>
    </xf>
    <xf numFmtId="0" fontId="25" fillId="34" borderId="92" xfId="0" applyFont="1" applyFill="1" applyBorder="1" applyAlignment="1">
      <alignment horizontal="left" vertical="center" wrapText="1"/>
    </xf>
    <xf numFmtId="0" fontId="25" fillId="34" borderId="8" xfId="0" applyFont="1" applyFill="1" applyBorder="1" applyAlignment="1">
      <alignment horizontal="left" vertical="center"/>
    </xf>
    <xf numFmtId="2" fontId="25" fillId="0" borderId="3" xfId="0" applyNumberFormat="1" applyFont="1" applyBorder="1" applyAlignment="1">
      <alignment horizontal="center" vertical="center"/>
    </xf>
    <xf numFmtId="2" fontId="25" fillId="0" borderId="7" xfId="0" applyNumberFormat="1" applyFont="1" applyBorder="1" applyAlignment="1">
      <alignment horizontal="center" vertical="center"/>
    </xf>
    <xf numFmtId="0" fontId="25" fillId="34" borderId="11" xfId="0" applyFont="1" applyFill="1" applyBorder="1" applyAlignment="1">
      <alignment horizontal="center" vertical="center" wrapText="1"/>
    </xf>
    <xf numFmtId="2" fontId="24" fillId="0" borderId="3" xfId="0" applyNumberFormat="1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2" fontId="24" fillId="0" borderId="7" xfId="0" applyNumberFormat="1" applyFont="1" applyBorder="1" applyAlignment="1">
      <alignment horizontal="center" vertical="center"/>
    </xf>
    <xf numFmtId="2" fontId="24" fillId="0" borderId="9" xfId="0" applyNumberFormat="1" applyFont="1" applyBorder="1" applyAlignment="1">
      <alignment horizontal="center" vertical="center"/>
    </xf>
    <xf numFmtId="2" fontId="24" fillId="0" borderId="44" xfId="0" applyNumberFormat="1" applyFont="1" applyBorder="1" applyAlignment="1">
      <alignment horizontal="center" vertical="center"/>
    </xf>
    <xf numFmtId="2" fontId="24" fillId="0" borderId="45" xfId="0" applyNumberFormat="1" applyFont="1" applyBorder="1" applyAlignment="1">
      <alignment horizontal="center" vertical="center"/>
    </xf>
    <xf numFmtId="2" fontId="24" fillId="0" borderId="75" xfId="0" applyNumberFormat="1" applyFont="1" applyBorder="1" applyAlignment="1">
      <alignment horizontal="center" vertical="center"/>
    </xf>
    <xf numFmtId="0" fontId="25" fillId="34" borderId="84" xfId="0" applyFont="1" applyFill="1" applyBorder="1" applyAlignment="1">
      <alignment horizontal="center" vertical="center"/>
    </xf>
    <xf numFmtId="9" fontId="24" fillId="0" borderId="93" xfId="0" applyNumberFormat="1" applyFont="1" applyBorder="1" applyAlignment="1">
      <alignment horizontal="left" vertical="center"/>
    </xf>
    <xf numFmtId="9" fontId="24" fillId="0" borderId="87" xfId="0" applyNumberFormat="1" applyFont="1" applyBorder="1" applyAlignment="1">
      <alignment horizontal="left" vertical="center"/>
    </xf>
    <xf numFmtId="9" fontId="24" fillId="0" borderId="94" xfId="0" applyNumberFormat="1" applyFont="1" applyBorder="1" applyAlignment="1">
      <alignment horizontal="left" vertical="center"/>
    </xf>
    <xf numFmtId="0" fontId="25" fillId="34" borderId="47" xfId="0" applyFont="1" applyFill="1" applyBorder="1" applyAlignment="1">
      <alignment horizontal="center" vertical="center"/>
    </xf>
    <xf numFmtId="2" fontId="24" fillId="0" borderId="79" xfId="0" applyNumberFormat="1" applyFont="1" applyBorder="1" applyAlignment="1">
      <alignment horizontal="left" vertical="center"/>
    </xf>
    <xf numFmtId="0" fontId="24" fillId="35" borderId="1" xfId="0" applyFont="1" applyFill="1" applyBorder="1"/>
    <xf numFmtId="0" fontId="25" fillId="36" borderId="1" xfId="0" applyFont="1" applyFill="1" applyBorder="1"/>
    <xf numFmtId="9" fontId="25" fillId="33" borderId="17" xfId="0" applyNumberFormat="1" applyFont="1" applyFill="1" applyBorder="1" applyAlignment="1">
      <alignment horizontal="center" vertical="center" wrapText="1"/>
    </xf>
    <xf numFmtId="2" fontId="24" fillId="0" borderId="68" xfId="0" applyNumberFormat="1" applyFont="1" applyBorder="1" applyAlignment="1">
      <alignment horizontal="right" vertical="center"/>
    </xf>
    <xf numFmtId="2" fontId="24" fillId="0" borderId="63" xfId="0" applyNumberFormat="1" applyFont="1" applyBorder="1" applyAlignment="1">
      <alignment horizontal="right" vertical="center"/>
    </xf>
    <xf numFmtId="2" fontId="24" fillId="0" borderId="2" xfId="0" applyNumberFormat="1" applyFont="1" applyBorder="1" applyAlignment="1">
      <alignment horizontal="right" vertical="center"/>
    </xf>
    <xf numFmtId="2" fontId="24" fillId="0" borderId="3" xfId="0" applyNumberFormat="1" applyFont="1" applyBorder="1" applyAlignment="1">
      <alignment horizontal="right" vertical="center"/>
    </xf>
    <xf numFmtId="2" fontId="24" fillId="0" borderId="7" xfId="0" applyNumberFormat="1" applyFont="1" applyBorder="1" applyAlignment="1">
      <alignment horizontal="right" vertical="center"/>
    </xf>
    <xf numFmtId="2" fontId="24" fillId="0" borderId="44" xfId="0" applyNumberFormat="1" applyFont="1" applyBorder="1" applyAlignment="1">
      <alignment horizontal="right" vertical="center"/>
    </xf>
    <xf numFmtId="2" fontId="24" fillId="0" borderId="75" xfId="0" applyNumberFormat="1" applyFont="1" applyBorder="1" applyAlignment="1">
      <alignment horizontal="right" vertical="center"/>
    </xf>
    <xf numFmtId="0" fontId="25" fillId="34" borderId="71" xfId="0" applyFont="1" applyFill="1" applyBorder="1" applyAlignment="1">
      <alignment horizontal="center" vertical="center" wrapText="1"/>
    </xf>
    <xf numFmtId="0" fontId="25" fillId="34" borderId="61" xfId="0" applyFont="1" applyFill="1" applyBorder="1" applyAlignment="1">
      <alignment horizontal="center" vertical="center"/>
    </xf>
    <xf numFmtId="2" fontId="24" fillId="0" borderId="58" xfId="0" applyNumberFormat="1" applyFont="1" applyBorder="1" applyAlignment="1">
      <alignment horizontal="right" vertical="center"/>
    </xf>
    <xf numFmtId="2" fontId="24" fillId="0" borderId="91" xfId="0" applyNumberFormat="1" applyFont="1" applyBorder="1" applyAlignment="1">
      <alignment horizontal="right" vertical="center"/>
    </xf>
    <xf numFmtId="0" fontId="25" fillId="34" borderId="92" xfId="0" applyFont="1" applyFill="1" applyBorder="1" applyAlignment="1">
      <alignment horizontal="center" vertical="center" wrapText="1"/>
    </xf>
    <xf numFmtId="0" fontId="25" fillId="34" borderId="8" xfId="0" applyFont="1" applyFill="1" applyBorder="1" applyAlignment="1">
      <alignment horizontal="center" vertical="center"/>
    </xf>
    <xf numFmtId="0" fontId="24" fillId="34" borderId="46" xfId="0" applyFont="1" applyFill="1" applyBorder="1" applyAlignment="1">
      <alignment horizontal="left" vertical="center" wrapText="1"/>
    </xf>
    <xf numFmtId="0" fontId="24" fillId="34" borderId="73" xfId="0" applyFont="1" applyFill="1" applyBorder="1" applyAlignment="1">
      <alignment horizontal="left" vertical="center" wrapText="1"/>
    </xf>
    <xf numFmtId="0" fontId="24" fillId="34" borderId="51" xfId="0" applyFont="1" applyFill="1" applyBorder="1" applyAlignment="1">
      <alignment horizontal="left" vertical="center" wrapText="1"/>
    </xf>
    <xf numFmtId="0" fontId="24" fillId="34" borderId="18" xfId="0" applyFont="1" applyFill="1" applyBorder="1" applyAlignment="1">
      <alignment horizontal="left" vertical="center" wrapText="1"/>
    </xf>
    <xf numFmtId="0" fontId="24" fillId="34" borderId="65" xfId="0" applyFont="1" applyFill="1" applyBorder="1" applyAlignment="1">
      <alignment horizontal="left" vertical="center" wrapText="1"/>
    </xf>
    <xf numFmtId="0" fontId="24" fillId="34" borderId="22" xfId="0" applyFont="1" applyFill="1" applyBorder="1" applyAlignment="1">
      <alignment horizontal="left" vertical="center" wrapText="1"/>
    </xf>
    <xf numFmtId="0" fontId="24" fillId="34" borderId="49" xfId="0" applyFont="1" applyFill="1" applyBorder="1" applyAlignment="1">
      <alignment horizontal="left" vertical="center" wrapText="1"/>
    </xf>
    <xf numFmtId="0" fontId="24" fillId="34" borderId="96" xfId="0" applyFont="1" applyFill="1" applyBorder="1" applyAlignment="1">
      <alignment horizontal="left" vertical="center" wrapText="1"/>
    </xf>
    <xf numFmtId="0" fontId="25" fillId="34" borderId="16" xfId="0" applyFont="1" applyFill="1" applyBorder="1" applyAlignment="1">
      <alignment horizontal="right" vertical="center" wrapText="1"/>
    </xf>
    <xf numFmtId="0" fontId="25" fillId="34" borderId="97" xfId="0" applyFont="1" applyFill="1" applyBorder="1" applyAlignment="1">
      <alignment horizontal="right" vertical="center" wrapText="1"/>
    </xf>
    <xf numFmtId="0" fontId="25" fillId="34" borderId="66" xfId="0" applyFont="1" applyFill="1" applyBorder="1" applyAlignment="1">
      <alignment horizontal="right" vertical="center" wrapText="1"/>
    </xf>
    <xf numFmtId="0" fontId="25" fillId="34" borderId="23" xfId="0" applyFont="1" applyFill="1" applyBorder="1" applyAlignment="1">
      <alignment horizontal="right" vertical="center" wrapText="1"/>
    </xf>
    <xf numFmtId="0" fontId="25" fillId="34" borderId="37" xfId="0" applyFont="1" applyFill="1" applyBorder="1" applyAlignment="1">
      <alignment horizontal="right" vertical="center" wrapText="1"/>
    </xf>
    <xf numFmtId="0" fontId="25" fillId="34" borderId="56" xfId="0" applyFont="1" applyFill="1" applyBorder="1" applyAlignment="1">
      <alignment horizontal="right" vertical="center" wrapText="1"/>
    </xf>
    <xf numFmtId="2" fontId="24" fillId="0" borderId="40" xfId="0" applyNumberFormat="1" applyFont="1" applyBorder="1" applyAlignment="1">
      <alignment horizontal="left" vertical="center"/>
    </xf>
    <xf numFmtId="2" fontId="24" fillId="0" borderId="1" xfId="0" applyNumberFormat="1" applyFont="1" applyBorder="1" applyAlignment="1">
      <alignment horizontal="left" vertical="center"/>
    </xf>
    <xf numFmtId="2" fontId="24" fillId="0" borderId="39" xfId="0" applyNumberFormat="1" applyFont="1" applyBorder="1" applyAlignment="1">
      <alignment horizontal="left" vertical="center"/>
    </xf>
    <xf numFmtId="2" fontId="24" fillId="0" borderId="9" xfId="0" applyNumberFormat="1" applyFont="1" applyBorder="1" applyAlignment="1">
      <alignment horizontal="left" vertical="center"/>
    </xf>
    <xf numFmtId="2" fontId="24" fillId="0" borderId="39" xfId="0" quotePrefix="1" applyNumberFormat="1" applyFont="1" applyBorder="1" applyAlignment="1">
      <alignment horizontal="left" vertical="center"/>
    </xf>
    <xf numFmtId="2" fontId="24" fillId="0" borderId="68" xfId="0" quotePrefix="1" applyNumberFormat="1" applyFont="1" applyBorder="1" applyAlignment="1">
      <alignment horizontal="left" vertical="center"/>
    </xf>
    <xf numFmtId="2" fontId="24" fillId="0" borderId="63" xfId="0" quotePrefix="1" applyNumberFormat="1" applyFont="1" applyBorder="1" applyAlignment="1">
      <alignment horizontal="left" vertical="center"/>
    </xf>
    <xf numFmtId="2" fontId="24" fillId="0" borderId="24" xfId="0" applyNumberFormat="1" applyFont="1" applyBorder="1" applyAlignment="1">
      <alignment horizontal="left" vertical="center"/>
    </xf>
    <xf numFmtId="2" fontId="24" fillId="0" borderId="44" xfId="0" applyNumberFormat="1" applyFont="1" applyBorder="1" applyAlignment="1">
      <alignment horizontal="left" vertical="center"/>
    </xf>
    <xf numFmtId="2" fontId="24" fillId="0" borderId="6" xfId="0" applyNumberFormat="1" applyFont="1" applyBorder="1" applyAlignment="1">
      <alignment horizontal="left" vertical="center"/>
    </xf>
    <xf numFmtId="2" fontId="24" fillId="0" borderId="2" xfId="0" applyNumberFormat="1" applyFont="1" applyBorder="1" applyAlignment="1">
      <alignment horizontal="left" vertical="center"/>
    </xf>
    <xf numFmtId="2" fontId="24" fillId="0" borderId="5" xfId="0" applyNumberFormat="1" applyFont="1" applyBorder="1" applyAlignment="1">
      <alignment horizontal="left" vertical="center"/>
    </xf>
    <xf numFmtId="2" fontId="24" fillId="0" borderId="13" xfId="0" applyNumberFormat="1" applyFont="1" applyBorder="1" applyAlignment="1">
      <alignment horizontal="left" vertical="center"/>
    </xf>
    <xf numFmtId="2" fontId="24" fillId="0" borderId="9" xfId="0" applyNumberFormat="1" applyFont="1" applyBorder="1" applyAlignment="1">
      <alignment horizontal="left"/>
    </xf>
    <xf numFmtId="2" fontId="24" fillId="0" borderId="6" xfId="0" applyNumberFormat="1" applyFont="1" applyBorder="1" applyAlignment="1">
      <alignment horizontal="left"/>
    </xf>
    <xf numFmtId="2" fontId="24" fillId="0" borderId="3" xfId="0" applyNumberFormat="1" applyFont="1" applyBorder="1" applyAlignment="1">
      <alignment horizontal="left"/>
    </xf>
    <xf numFmtId="2" fontId="24" fillId="0" borderId="13" xfId="0" applyNumberFormat="1" applyFont="1" applyBorder="1" applyAlignment="1">
      <alignment horizontal="left"/>
    </xf>
    <xf numFmtId="2" fontId="24" fillId="0" borderId="79" xfId="0" applyNumberFormat="1" applyFont="1" applyBorder="1" applyAlignment="1">
      <alignment horizontal="left"/>
    </xf>
    <xf numFmtId="2" fontId="24" fillId="0" borderId="43" xfId="0" applyNumberFormat="1" applyFont="1" applyBorder="1" applyAlignment="1">
      <alignment horizontal="center" vertical="center"/>
    </xf>
    <xf numFmtId="2" fontId="24" fillId="0" borderId="43" xfId="0" applyNumberFormat="1" applyFont="1" applyBorder="1" applyAlignment="1">
      <alignment horizontal="left"/>
    </xf>
    <xf numFmtId="2" fontId="24" fillId="0" borderId="43" xfId="0" applyNumberFormat="1" applyFont="1" applyBorder="1" applyAlignment="1">
      <alignment horizontal="left" vertical="center"/>
    </xf>
    <xf numFmtId="9" fontId="24" fillId="0" borderId="19" xfId="0" applyNumberFormat="1" applyFont="1" applyBorder="1" applyAlignment="1">
      <alignment horizontal="left" vertical="center"/>
    </xf>
    <xf numFmtId="9" fontId="24" fillId="0" borderId="98" xfId="0" applyNumberFormat="1" applyFont="1" applyBorder="1" applyAlignment="1">
      <alignment horizontal="left" vertical="center"/>
    </xf>
    <xf numFmtId="9" fontId="24" fillId="0" borderId="86" xfId="0" applyNumberFormat="1" applyFont="1" applyBorder="1" applyAlignment="1">
      <alignment horizontal="left" vertical="center"/>
    </xf>
    <xf numFmtId="9" fontId="24" fillId="0" borderId="99" xfId="0" applyNumberFormat="1" applyFont="1" applyBorder="1" applyAlignment="1">
      <alignment horizontal="left" vertical="center"/>
    </xf>
    <xf numFmtId="0" fontId="25" fillId="34" borderId="103" xfId="0" applyFont="1" applyFill="1" applyBorder="1" applyAlignment="1">
      <alignment horizontal="right" vertical="center" wrapText="1"/>
    </xf>
    <xf numFmtId="0" fontId="24" fillId="34" borderId="104" xfId="0" applyFont="1" applyFill="1" applyBorder="1" applyAlignment="1">
      <alignment horizontal="left" vertical="center" wrapText="1"/>
    </xf>
    <xf numFmtId="2" fontId="24" fillId="0" borderId="105" xfId="0" applyNumberFormat="1" applyFont="1" applyBorder="1" applyAlignment="1">
      <alignment horizontal="left" vertical="center"/>
    </xf>
    <xf numFmtId="2" fontId="24" fillId="0" borderId="106" xfId="0" applyNumberFormat="1" applyFont="1" applyBorder="1" applyAlignment="1">
      <alignment horizontal="center" vertical="center"/>
    </xf>
    <xf numFmtId="2" fontId="24" fillId="0" borderId="106" xfId="0" applyNumberFormat="1" applyFont="1" applyBorder="1" applyAlignment="1">
      <alignment horizontal="left" vertical="center"/>
    </xf>
    <xf numFmtId="9" fontId="24" fillId="0" borderId="107" xfId="0" applyNumberFormat="1" applyFont="1" applyBorder="1" applyAlignment="1">
      <alignment horizontal="left" vertical="center"/>
    </xf>
    <xf numFmtId="9" fontId="24" fillId="0" borderId="108" xfId="0" applyNumberFormat="1" applyFont="1" applyBorder="1" applyAlignment="1">
      <alignment horizontal="left" vertical="center"/>
    </xf>
    <xf numFmtId="0" fontId="25" fillId="34" borderId="109" xfId="0" applyFont="1" applyFill="1" applyBorder="1" applyAlignment="1">
      <alignment horizontal="center" vertical="center" wrapText="1"/>
    </xf>
    <xf numFmtId="0" fontId="25" fillId="34" borderId="101" xfId="0" applyFont="1" applyFill="1" applyBorder="1" applyAlignment="1">
      <alignment horizontal="left" vertical="center" wrapText="1"/>
    </xf>
    <xf numFmtId="2" fontId="24" fillId="0" borderId="110" xfId="0" applyNumberFormat="1" applyFont="1" applyBorder="1" applyAlignment="1">
      <alignment horizontal="right" vertical="center"/>
    </xf>
    <xf numFmtId="2" fontId="24" fillId="0" borderId="111" xfId="0" applyNumberFormat="1" applyFont="1" applyBorder="1" applyAlignment="1">
      <alignment horizontal="right" vertical="center"/>
    </xf>
    <xf numFmtId="9" fontId="24" fillId="0" borderId="112" xfId="0" applyNumberFormat="1" applyFont="1" applyBorder="1" applyAlignment="1">
      <alignment horizontal="left" vertical="center"/>
    </xf>
    <xf numFmtId="0" fontId="25" fillId="34" borderId="115" xfId="0" applyFont="1" applyFill="1" applyBorder="1" applyAlignment="1">
      <alignment horizontal="left" vertical="center" wrapText="1"/>
    </xf>
    <xf numFmtId="2" fontId="24" fillId="0" borderId="116" xfId="0" applyNumberFormat="1" applyFont="1" applyBorder="1" applyAlignment="1">
      <alignment horizontal="left" vertical="center"/>
    </xf>
    <xf numFmtId="2" fontId="24" fillId="0" borderId="117" xfId="0" applyNumberFormat="1" applyFont="1" applyBorder="1" applyAlignment="1">
      <alignment horizontal="center" vertical="center"/>
    </xf>
    <xf numFmtId="2" fontId="24" fillId="0" borderId="117" xfId="0" applyNumberFormat="1" applyFont="1" applyBorder="1" applyAlignment="1">
      <alignment horizontal="left" vertical="center"/>
    </xf>
    <xf numFmtId="2" fontId="25" fillId="0" borderId="117" xfId="0" applyNumberFormat="1" applyFont="1" applyBorder="1" applyAlignment="1">
      <alignment horizontal="center" vertical="center"/>
    </xf>
    <xf numFmtId="9" fontId="24" fillId="0" borderId="118" xfId="0" applyNumberFormat="1" applyFont="1" applyBorder="1" applyAlignment="1">
      <alignment horizontal="left" vertical="center"/>
    </xf>
    <xf numFmtId="9" fontId="24" fillId="0" borderId="119" xfId="0" applyNumberFormat="1" applyFont="1" applyBorder="1" applyAlignment="1">
      <alignment horizontal="left" vertical="center"/>
    </xf>
    <xf numFmtId="0" fontId="25" fillId="34" borderId="76" xfId="0" applyFont="1" applyFill="1" applyBorder="1" applyAlignment="1">
      <alignment horizontal="center" vertical="center" textRotation="90" wrapText="1"/>
    </xf>
    <xf numFmtId="0" fontId="25" fillId="34" borderId="77" xfId="0" applyFont="1" applyFill="1" applyBorder="1" applyAlignment="1">
      <alignment horizontal="center" vertical="center" textRotation="90"/>
    </xf>
    <xf numFmtId="0" fontId="25" fillId="34" borderId="78" xfId="0" applyFont="1" applyFill="1" applyBorder="1" applyAlignment="1">
      <alignment horizontal="center" vertical="center" textRotation="90"/>
    </xf>
    <xf numFmtId="0" fontId="25" fillId="34" borderId="41" xfId="0" applyFont="1" applyFill="1" applyBorder="1" applyAlignment="1">
      <alignment horizontal="center" vertical="center" textRotation="90"/>
    </xf>
    <xf numFmtId="0" fontId="25" fillId="34" borderId="72" xfId="0" applyFont="1" applyFill="1" applyBorder="1" applyAlignment="1">
      <alignment horizontal="center" vertical="center" textRotation="90"/>
    </xf>
    <xf numFmtId="0" fontId="25" fillId="34" borderId="52" xfId="0" applyFont="1" applyFill="1" applyBorder="1" applyAlignment="1">
      <alignment horizontal="center" vertical="center" textRotation="90"/>
    </xf>
    <xf numFmtId="0" fontId="25" fillId="34" borderId="57" xfId="0" applyFont="1" applyFill="1" applyBorder="1" applyAlignment="1">
      <alignment horizontal="center" vertical="center" textRotation="90"/>
    </xf>
    <xf numFmtId="0" fontId="25" fillId="34" borderId="18" xfId="0" applyFont="1" applyFill="1" applyBorder="1" applyAlignment="1">
      <alignment horizontal="center" vertical="center" textRotation="90" wrapText="1"/>
    </xf>
    <xf numFmtId="0" fontId="25" fillId="34" borderId="19" xfId="0" applyFont="1" applyFill="1" applyBorder="1" applyAlignment="1">
      <alignment horizontal="center" vertical="center" textRotation="90" wrapText="1"/>
    </xf>
    <xf numFmtId="0" fontId="25" fillId="34" borderId="100" xfId="0" applyFont="1" applyFill="1" applyBorder="1" applyAlignment="1">
      <alignment horizontal="center" vertical="center" textRotation="90" wrapText="1"/>
    </xf>
    <xf numFmtId="0" fontId="25" fillId="34" borderId="56" xfId="0" applyFont="1" applyFill="1" applyBorder="1" applyAlignment="1">
      <alignment horizontal="center" vertical="center" textRotation="90" wrapText="1"/>
    </xf>
    <xf numFmtId="0" fontId="25" fillId="34" borderId="37" xfId="0" applyFont="1" applyFill="1" applyBorder="1" applyAlignment="1">
      <alignment horizontal="center" vertical="center" textRotation="90" wrapText="1"/>
    </xf>
    <xf numFmtId="0" fontId="25" fillId="34" borderId="82" xfId="0" applyFont="1" applyFill="1" applyBorder="1" applyAlignment="1">
      <alignment horizontal="center" vertical="center" textRotation="90" wrapText="1"/>
    </xf>
    <xf numFmtId="0" fontId="25" fillId="34" borderId="83" xfId="0" applyFont="1" applyFill="1" applyBorder="1" applyAlignment="1">
      <alignment horizontal="center" vertical="center" textRotation="90" wrapText="1"/>
    </xf>
    <xf numFmtId="0" fontId="25" fillId="34" borderId="26" xfId="0" applyFont="1" applyFill="1" applyBorder="1" applyAlignment="1">
      <alignment horizontal="center" vertical="center" textRotation="90" wrapText="1"/>
    </xf>
    <xf numFmtId="0" fontId="25" fillId="34" borderId="101" xfId="0" applyFont="1" applyFill="1" applyBorder="1" applyAlignment="1">
      <alignment horizontal="center" vertical="center" textRotation="90" wrapText="1"/>
    </xf>
    <xf numFmtId="0" fontId="25" fillId="34" borderId="14" xfId="0" applyFont="1" applyFill="1" applyBorder="1" applyAlignment="1">
      <alignment horizontal="center" vertical="center" textRotation="90" wrapText="1"/>
    </xf>
    <xf numFmtId="0" fontId="25" fillId="34" borderId="15" xfId="0" applyFont="1" applyFill="1" applyBorder="1" applyAlignment="1">
      <alignment horizontal="center" vertical="center" textRotation="90" wrapText="1"/>
    </xf>
    <xf numFmtId="0" fontId="25" fillId="34" borderId="22" xfId="0" applyFont="1" applyFill="1" applyBorder="1" applyAlignment="1">
      <alignment horizontal="center" vertical="center" textRotation="90" wrapText="1"/>
    </xf>
    <xf numFmtId="0" fontId="25" fillId="34" borderId="27" xfId="0" applyFont="1" applyFill="1" applyBorder="1" applyAlignment="1">
      <alignment horizontal="center" vertical="center" textRotation="90" wrapText="1"/>
    </xf>
    <xf numFmtId="0" fontId="25" fillId="34" borderId="25" xfId="0" applyFont="1" applyFill="1" applyBorder="1" applyAlignment="1">
      <alignment horizontal="center" vertical="center" textRotation="90" wrapText="1"/>
    </xf>
    <xf numFmtId="0" fontId="25" fillId="34" borderId="17" xfId="0" applyFont="1" applyFill="1" applyBorder="1" applyAlignment="1">
      <alignment horizontal="center" vertical="center" textRotation="90" wrapText="1"/>
    </xf>
    <xf numFmtId="2" fontId="25" fillId="0" borderId="44" xfId="0" applyNumberFormat="1" applyFont="1" applyBorder="1" applyAlignment="1">
      <alignment horizontal="center" vertical="center"/>
    </xf>
    <xf numFmtId="2" fontId="25" fillId="0" borderId="43" xfId="0" applyNumberFormat="1" applyFont="1" applyBorder="1" applyAlignment="1">
      <alignment horizontal="center" vertical="center"/>
    </xf>
    <xf numFmtId="2" fontId="25" fillId="0" borderId="45" xfId="0" applyNumberFormat="1" applyFont="1" applyBorder="1" applyAlignment="1">
      <alignment horizontal="center" vertical="center"/>
    </xf>
    <xf numFmtId="2" fontId="25" fillId="0" borderId="106" xfId="0" applyNumberFormat="1" applyFont="1" applyBorder="1" applyAlignment="1">
      <alignment horizontal="center" vertical="center"/>
    </xf>
    <xf numFmtId="0" fontId="25" fillId="34" borderId="70" xfId="0" applyFont="1" applyFill="1" applyBorder="1" applyAlignment="1">
      <alignment horizontal="center" vertical="center"/>
    </xf>
    <xf numFmtId="0" fontId="25" fillId="34" borderId="69" xfId="0" applyFont="1" applyFill="1" applyBorder="1" applyAlignment="1">
      <alignment horizontal="center" vertical="center"/>
    </xf>
    <xf numFmtId="0" fontId="25" fillId="34" borderId="84" xfId="0" applyFont="1" applyFill="1" applyBorder="1" applyAlignment="1">
      <alignment horizontal="center" vertical="center"/>
    </xf>
    <xf numFmtId="0" fontId="25" fillId="34" borderId="2" xfId="0" applyFont="1" applyFill="1" applyBorder="1" applyAlignment="1">
      <alignment horizontal="center" vertical="center"/>
    </xf>
    <xf numFmtId="0" fontId="25" fillId="34" borderId="4" xfId="0" applyFont="1" applyFill="1" applyBorder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25" fillId="34" borderId="85" xfId="0" applyFont="1" applyFill="1" applyBorder="1" applyAlignment="1">
      <alignment horizontal="center" vertical="center"/>
    </xf>
    <xf numFmtId="0" fontId="25" fillId="34" borderId="86" xfId="0" applyFont="1" applyFill="1" applyBorder="1" applyAlignment="1">
      <alignment horizontal="center" vertical="center" wrapText="1"/>
    </xf>
    <xf numFmtId="0" fontId="25" fillId="34" borderId="87" xfId="0" applyFont="1" applyFill="1" applyBorder="1" applyAlignment="1">
      <alignment horizontal="center" vertical="center" wrapText="1"/>
    </xf>
    <xf numFmtId="0" fontId="25" fillId="34" borderId="14" xfId="0" applyFont="1" applyFill="1" applyBorder="1" applyAlignment="1">
      <alignment horizontal="center" vertical="center"/>
    </xf>
    <xf numFmtId="0" fontId="25" fillId="34" borderId="15" xfId="0" applyFont="1" applyFill="1" applyBorder="1" applyAlignment="1">
      <alignment horizontal="center" vertical="center"/>
    </xf>
    <xf numFmtId="0" fontId="25" fillId="34" borderId="24" xfId="0" applyFont="1" applyFill="1" applyBorder="1" applyAlignment="1">
      <alignment horizontal="center" vertical="center"/>
    </xf>
    <xf numFmtId="9" fontId="25" fillId="33" borderId="56" xfId="0" applyNumberFormat="1" applyFont="1" applyFill="1" applyBorder="1" applyAlignment="1">
      <alignment horizontal="center" vertical="center" wrapText="1"/>
    </xf>
    <xf numFmtId="9" fontId="25" fillId="33" borderId="50" xfId="0" applyNumberFormat="1" applyFont="1" applyFill="1" applyBorder="1" applyAlignment="1">
      <alignment horizontal="center" vertical="center" wrapText="1"/>
    </xf>
    <xf numFmtId="9" fontId="25" fillId="33" borderId="37" xfId="0" applyNumberFormat="1" applyFont="1" applyFill="1" applyBorder="1" applyAlignment="1">
      <alignment horizontal="center" vertical="center" wrapText="1"/>
    </xf>
    <xf numFmtId="9" fontId="25" fillId="33" borderId="14" xfId="0" applyNumberFormat="1" applyFont="1" applyFill="1" applyBorder="1" applyAlignment="1">
      <alignment horizontal="center" vertical="center" wrapText="1"/>
    </xf>
    <xf numFmtId="9" fontId="25" fillId="33" borderId="26" xfId="0" applyNumberFormat="1" applyFont="1" applyFill="1" applyBorder="1" applyAlignment="1">
      <alignment horizontal="center" vertical="center" wrapText="1"/>
    </xf>
    <xf numFmtId="9" fontId="25" fillId="33" borderId="15" xfId="0" applyNumberFormat="1" applyFont="1" applyFill="1" applyBorder="1" applyAlignment="1">
      <alignment horizontal="center" vertical="center" wrapText="1"/>
    </xf>
    <xf numFmtId="9" fontId="25" fillId="33" borderId="102" xfId="0" applyNumberFormat="1" applyFont="1" applyFill="1" applyBorder="1" applyAlignment="1">
      <alignment horizontal="center" vertical="center" wrapText="1"/>
    </xf>
    <xf numFmtId="0" fontId="25" fillId="34" borderId="57" xfId="0" applyFont="1" applyFill="1" applyBorder="1" applyAlignment="1">
      <alignment horizontal="center" vertical="center"/>
    </xf>
    <xf numFmtId="0" fontId="25" fillId="34" borderId="74" xfId="0" applyFont="1" applyFill="1" applyBorder="1" applyAlignment="1">
      <alignment horizontal="center" vertical="center"/>
    </xf>
    <xf numFmtId="0" fontId="25" fillId="34" borderId="67" xfId="0" applyFont="1" applyFill="1" applyBorder="1" applyAlignment="1">
      <alignment horizontal="center" vertical="center"/>
    </xf>
    <xf numFmtId="0" fontId="25" fillId="34" borderId="41" xfId="0" applyFont="1" applyFill="1" applyBorder="1" applyAlignment="1">
      <alignment horizontal="center" vertical="center"/>
    </xf>
    <xf numFmtId="0" fontId="25" fillId="34" borderId="42" xfId="0" applyFont="1" applyFill="1" applyBorder="1" applyAlignment="1">
      <alignment horizontal="center" vertical="center"/>
    </xf>
    <xf numFmtId="0" fontId="25" fillId="34" borderId="48" xfId="0" applyFont="1" applyFill="1" applyBorder="1" applyAlignment="1">
      <alignment horizontal="center" vertical="center" wrapText="1"/>
    </xf>
    <xf numFmtId="0" fontId="25" fillId="34" borderId="104" xfId="0" applyFont="1" applyFill="1" applyBorder="1" applyAlignment="1">
      <alignment horizontal="center" vertical="center" wrapText="1"/>
    </xf>
    <xf numFmtId="9" fontId="25" fillId="33" borderId="18" xfId="0" applyNumberFormat="1" applyFont="1" applyFill="1" applyBorder="1" applyAlignment="1">
      <alignment horizontal="center" vertical="center" wrapText="1"/>
    </xf>
    <xf numFmtId="9" fontId="25" fillId="33" borderId="100" xfId="0" applyNumberFormat="1" applyFont="1" applyFill="1" applyBorder="1" applyAlignment="1">
      <alignment horizontal="center" vertical="center" wrapText="1"/>
    </xf>
    <xf numFmtId="0" fontId="25" fillId="34" borderId="18" xfId="0" applyFont="1" applyFill="1" applyBorder="1" applyAlignment="1">
      <alignment horizontal="center" vertical="center" wrapText="1"/>
    </xf>
    <xf numFmtId="0" fontId="25" fillId="34" borderId="25" xfId="0" applyFont="1" applyFill="1" applyBorder="1" applyAlignment="1">
      <alignment horizontal="center" vertical="center" wrapText="1"/>
    </xf>
    <xf numFmtId="0" fontId="25" fillId="34" borderId="21" xfId="0" applyFont="1" applyFill="1" applyBorder="1" applyAlignment="1">
      <alignment horizontal="center" vertical="center" wrapText="1"/>
    </xf>
    <xf numFmtId="0" fontId="25" fillId="34" borderId="22" xfId="0" applyFont="1" applyFill="1" applyBorder="1" applyAlignment="1">
      <alignment horizontal="center" vertical="center" wrapText="1"/>
    </xf>
    <xf numFmtId="9" fontId="25" fillId="33" borderId="16" xfId="0" applyNumberFormat="1" applyFont="1" applyFill="1" applyBorder="1" applyAlignment="1">
      <alignment horizontal="center" vertical="center" wrapText="1"/>
    </xf>
    <xf numFmtId="9" fontId="25" fillId="33" borderId="46" xfId="0" applyNumberFormat="1" applyFont="1" applyFill="1" applyBorder="1" applyAlignment="1">
      <alignment horizontal="center" vertical="center" wrapText="1"/>
    </xf>
    <xf numFmtId="0" fontId="25" fillId="34" borderId="17" xfId="0" applyFont="1" applyFill="1" applyBorder="1" applyAlignment="1">
      <alignment horizontal="center" vertical="center"/>
    </xf>
    <xf numFmtId="0" fontId="25" fillId="34" borderId="22" xfId="0" applyFont="1" applyFill="1" applyBorder="1" applyAlignment="1">
      <alignment horizontal="center" vertical="center"/>
    </xf>
    <xf numFmtId="0" fontId="25" fillId="34" borderId="48" xfId="0" applyFont="1" applyFill="1" applyBorder="1" applyAlignment="1">
      <alignment horizontal="center" vertical="center" textRotation="90"/>
    </xf>
    <xf numFmtId="0" fontId="25" fillId="34" borderId="0" xfId="0" applyFont="1" applyFill="1" applyAlignment="1">
      <alignment horizontal="center" vertical="center" textRotation="90"/>
    </xf>
    <xf numFmtId="0" fontId="25" fillId="34" borderId="104" xfId="0" applyFont="1" applyFill="1" applyBorder="1" applyAlignment="1">
      <alignment horizontal="center" vertical="center" textRotation="90"/>
    </xf>
    <xf numFmtId="0" fontId="25" fillId="34" borderId="14" xfId="0" applyFont="1" applyFill="1" applyBorder="1" applyAlignment="1">
      <alignment horizontal="center" vertical="center" wrapText="1"/>
    </xf>
    <xf numFmtId="0" fontId="25" fillId="34" borderId="15" xfId="0" applyFont="1" applyFill="1" applyBorder="1" applyAlignment="1">
      <alignment horizontal="center" vertical="center" wrapText="1"/>
    </xf>
    <xf numFmtId="0" fontId="25" fillId="34" borderId="17" xfId="0" applyFont="1" applyFill="1" applyBorder="1" applyAlignment="1">
      <alignment horizontal="center" vertical="center" wrapText="1"/>
    </xf>
    <xf numFmtId="0" fontId="25" fillId="34" borderId="113" xfId="0" applyFont="1" applyFill="1" applyBorder="1" applyAlignment="1">
      <alignment horizontal="center" vertical="center" wrapText="1"/>
    </xf>
    <xf numFmtId="0" fontId="25" fillId="34" borderId="114" xfId="0" applyFont="1" applyFill="1" applyBorder="1" applyAlignment="1">
      <alignment horizontal="center" vertical="center" wrapText="1"/>
    </xf>
    <xf numFmtId="0" fontId="25" fillId="34" borderId="18" xfId="0" applyFont="1" applyFill="1" applyBorder="1" applyAlignment="1">
      <alignment horizontal="center" vertical="center" textRotation="90"/>
    </xf>
    <xf numFmtId="0" fontId="25" fillId="34" borderId="19" xfId="0" applyFont="1" applyFill="1" applyBorder="1" applyAlignment="1">
      <alignment horizontal="center" vertical="center" textRotation="90"/>
    </xf>
    <xf numFmtId="0" fontId="25" fillId="34" borderId="95" xfId="0" applyFont="1" applyFill="1" applyBorder="1" applyAlignment="1">
      <alignment horizontal="center" vertical="center"/>
    </xf>
    <xf numFmtId="0" fontId="25" fillId="34" borderId="65" xfId="0" applyFont="1" applyFill="1" applyBorder="1" applyAlignment="1">
      <alignment horizontal="center" vertical="center"/>
    </xf>
    <xf numFmtId="0" fontId="25" fillId="34" borderId="24" xfId="0" applyFont="1" applyFill="1" applyBorder="1" applyAlignment="1">
      <alignment horizontal="left" vertical="center"/>
    </xf>
    <xf numFmtId="0" fontId="25" fillId="34" borderId="4" xfId="0" applyFont="1" applyFill="1" applyBorder="1" applyAlignment="1">
      <alignment horizontal="left" vertical="center"/>
    </xf>
    <xf numFmtId="0" fontId="25" fillId="34" borderId="2" xfId="0" applyFont="1" applyFill="1" applyBorder="1" applyAlignment="1">
      <alignment horizontal="left" vertical="center"/>
    </xf>
    <xf numFmtId="0" fontId="21" fillId="34" borderId="14" xfId="0" applyFont="1" applyFill="1" applyBorder="1" applyAlignment="1">
      <alignment horizontal="center" vertical="center" textRotation="90" wrapText="1"/>
    </xf>
    <xf numFmtId="0" fontId="21" fillId="34" borderId="26" xfId="0" applyFont="1" applyFill="1" applyBorder="1" applyAlignment="1">
      <alignment horizontal="center" vertical="center" textRotation="90" wrapText="1"/>
    </xf>
    <xf numFmtId="0" fontId="21" fillId="34" borderId="15" xfId="0" applyFont="1" applyFill="1" applyBorder="1" applyAlignment="1">
      <alignment horizontal="center" vertical="center" textRotation="90" wrapText="1"/>
    </xf>
    <xf numFmtId="0" fontId="21" fillId="34" borderId="20" xfId="0" applyFont="1" applyFill="1" applyBorder="1"/>
    <xf numFmtId="0" fontId="21" fillId="34" borderId="46" xfId="0" applyFont="1" applyFill="1" applyBorder="1"/>
    <xf numFmtId="0" fontId="21" fillId="34" borderId="23" xfId="0" applyFont="1" applyFill="1" applyBorder="1"/>
    <xf numFmtId="0" fontId="21" fillId="34" borderId="49" xfId="0" applyFont="1" applyFill="1" applyBorder="1"/>
    <xf numFmtId="0" fontId="21" fillId="34" borderId="37" xfId="0" applyFont="1" applyFill="1" applyBorder="1"/>
    <xf numFmtId="0" fontId="21" fillId="34" borderId="65" xfId="0" applyFont="1" applyFill="1" applyBorder="1"/>
    <xf numFmtId="0" fontId="21" fillId="34" borderId="16" xfId="0" applyFont="1" applyFill="1" applyBorder="1"/>
    <xf numFmtId="0" fontId="21" fillId="34" borderId="0" xfId="0" applyFont="1" applyFill="1"/>
    <xf numFmtId="0" fontId="21" fillId="34" borderId="56" xfId="0" applyFont="1" applyFill="1" applyBorder="1" applyAlignment="1">
      <alignment horizontal="center" vertical="center"/>
    </xf>
    <xf numFmtId="0" fontId="21" fillId="34" borderId="37" xfId="0" applyFont="1" applyFill="1" applyBorder="1" applyAlignment="1">
      <alignment horizontal="center" vertical="center"/>
    </xf>
    <xf numFmtId="0" fontId="21" fillId="34" borderId="50" xfId="0" applyFont="1" applyFill="1" applyBorder="1" applyAlignment="1">
      <alignment horizontal="center" vertical="center"/>
    </xf>
    <xf numFmtId="0" fontId="21" fillId="34" borderId="56" xfId="0" applyFont="1" applyFill="1" applyBorder="1" applyAlignment="1">
      <alignment horizontal="center"/>
    </xf>
    <xf numFmtId="0" fontId="21" fillId="34" borderId="48" xfId="0" applyFont="1" applyFill="1" applyBorder="1" applyAlignment="1">
      <alignment horizontal="center"/>
    </xf>
    <xf numFmtId="0" fontId="21" fillId="34" borderId="21" xfId="0" applyFont="1" applyFill="1" applyBorder="1" applyAlignment="1">
      <alignment horizontal="center"/>
    </xf>
    <xf numFmtId="0" fontId="21" fillId="34" borderId="2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2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1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3" builtinId="15" customBuiltin="1"/>
    <cellStyle name="Total" xfId="17" builtinId="25" customBuiltin="1"/>
    <cellStyle name="Warning Text" xfId="14" builtinId="11" customBuiltin="1"/>
  </cellStyles>
  <dxfs count="65"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ill>
        <patternFill patternType="solid">
          <bgColor rgb="FFF19A65"/>
        </patternFill>
      </fill>
    </dxf>
    <dxf>
      <fill>
        <patternFill patternType="solid">
          <bgColor theme="5" tint="0.599993896298104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ill>
        <patternFill patternType="solid">
          <bgColor rgb="FFF19A65"/>
        </patternFill>
      </fill>
    </dxf>
    <dxf>
      <fill>
        <patternFill patternType="solid">
          <bgColor theme="5" tint="0.599993896298104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ill>
        <patternFill patternType="solid">
          <bgColor rgb="FFF19A65"/>
        </patternFill>
      </fill>
    </dxf>
    <dxf>
      <fill>
        <patternFill patternType="solid">
          <bgColor theme="5" tint="0.599993896298104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ill>
        <patternFill patternType="solid">
          <bgColor rgb="FFF19A65"/>
        </patternFill>
      </fill>
    </dxf>
    <dxf>
      <fill>
        <patternFill patternType="solid">
          <bgColor theme="5" tint="0.599993896298104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ill>
        <patternFill patternType="solid">
          <bgColor rgb="FFF19A65"/>
        </patternFill>
      </fill>
    </dxf>
    <dxf>
      <fill>
        <patternFill patternType="solid">
          <bgColor theme="5" tint="0.599993896298104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1" tint="0.34998626667073579"/>
      </font>
      <fill>
        <patternFill patternType="gray0625">
          <fgColor theme="0" tint="-0.499984740745262"/>
          <bgColor theme="0" tint="-0.14996795556505021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9" tint="-0.24994659260841701"/>
      </font>
      <fill>
        <patternFill patternType="solid">
          <fgColor theme="9" tint="0.79998168889431442"/>
          <bgColor theme="9" tint="0.79998168889431442"/>
        </patternFill>
      </fill>
    </dxf>
  </dxfs>
  <tableStyles count="0" defaultTableStyle="TableStyleMedium2" defaultPivotStyle="PivotStyleLight16"/>
  <colors>
    <mruColors>
      <color rgb="FFFC6500"/>
      <color rgb="FFF19A65"/>
      <color rgb="FFFFA1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UNRESPONSIVE DRIVER'!A1"/><Relationship Id="rId3" Type="http://schemas.openxmlformats.org/officeDocument/2006/relationships/hyperlink" Target="#'FATIGUE GUIDELINE'!A1"/><Relationship Id="rId7" Type="http://schemas.openxmlformats.org/officeDocument/2006/relationships/hyperlink" Target="#'Reference Criteria'!A1"/><Relationship Id="rId2" Type="http://schemas.openxmlformats.org/officeDocument/2006/relationships/hyperlink" Target="#'NOISE VARIABLES'!A1"/><Relationship Id="rId1" Type="http://schemas.openxmlformats.org/officeDocument/2006/relationships/hyperlink" Target="#'NOISE VARIABLES GUIDELINE'!A1"/><Relationship Id="rId6" Type="http://schemas.openxmlformats.org/officeDocument/2006/relationships/hyperlink" Target="#'DISTRACTION GUIDELINE'!A1"/><Relationship Id="rId11" Type="http://schemas.openxmlformats.org/officeDocument/2006/relationships/image" Target="../media/image1.png"/><Relationship Id="rId5" Type="http://schemas.openxmlformats.org/officeDocument/2006/relationships/hyperlink" Target="#DISTRACTION!A1"/><Relationship Id="rId10" Type="http://schemas.openxmlformats.org/officeDocument/2006/relationships/hyperlink" Target="https://www.applusidiada.com/global/en/what-we-do/service-sheet/human-factors-" TargetMode="External"/><Relationship Id="rId4" Type="http://schemas.openxmlformats.org/officeDocument/2006/relationships/hyperlink" Target="#FATIGUE!A1"/><Relationship Id="rId9" Type="http://schemas.openxmlformats.org/officeDocument/2006/relationships/hyperlink" Target="#INTERVENTIO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36</xdr:row>
      <xdr:rowOff>175596</xdr:rowOff>
    </xdr:from>
    <xdr:to>
      <xdr:col>0</xdr:col>
      <xdr:colOff>1774826</xdr:colOff>
      <xdr:row>40</xdr:row>
      <xdr:rowOff>85111</xdr:rowOff>
    </xdr:to>
    <xdr:sp macro="" textlink="">
      <xdr:nvSpPr>
        <xdr:cNvPr id="2" name="Rectangle: Rounded Corners 13">
          <a:hlinkClick xmlns:r="http://schemas.openxmlformats.org/officeDocument/2006/relationships" r:id="rId1" tooltip="NOISE VARIABLES GUIDELINE"/>
          <a:extLst>
            <a:ext uri="{FF2B5EF4-FFF2-40B4-BE49-F238E27FC236}">
              <a16:creationId xmlns:a16="http://schemas.microsoft.com/office/drawing/2014/main" id="{FC93801D-D60A-4778-8361-93C64131B2E9}"/>
            </a:ext>
          </a:extLst>
        </xdr:cNvPr>
        <xdr:cNvSpPr/>
      </xdr:nvSpPr>
      <xdr:spPr>
        <a:xfrm>
          <a:off x="215900" y="6738321"/>
          <a:ext cx="1558926" cy="633415"/>
        </a:xfrm>
        <a:prstGeom prst="roundRect">
          <a:avLst>
            <a:gd name="adj" fmla="val 50000"/>
          </a:avLst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114300" sx="107000" sy="107000" algn="ctr" rotWithShape="0">
            <a:schemeClr val="tx2">
              <a:lumMod val="50000"/>
              <a:alpha val="2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ca-ES" sz="1000" b="1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NOISE VARIABLES GUIDELINE</a:t>
          </a:r>
        </a:p>
      </xdr:txBody>
    </xdr:sp>
    <xdr:clientData/>
  </xdr:twoCellAnchor>
  <xdr:twoCellAnchor>
    <xdr:from>
      <xdr:col>0</xdr:col>
      <xdr:colOff>215900</xdr:colOff>
      <xdr:row>42</xdr:row>
      <xdr:rowOff>19933</xdr:rowOff>
    </xdr:from>
    <xdr:to>
      <xdr:col>0</xdr:col>
      <xdr:colOff>1774826</xdr:colOff>
      <xdr:row>45</xdr:row>
      <xdr:rowOff>115186</xdr:rowOff>
    </xdr:to>
    <xdr:sp macro="" textlink="">
      <xdr:nvSpPr>
        <xdr:cNvPr id="3" name="Rectangle: Rounded Corners 13">
          <a:hlinkClick xmlns:r="http://schemas.openxmlformats.org/officeDocument/2006/relationships" r:id="rId2" tooltip="NOISE VARIABLES"/>
          <a:extLst>
            <a:ext uri="{FF2B5EF4-FFF2-40B4-BE49-F238E27FC236}">
              <a16:creationId xmlns:a16="http://schemas.microsoft.com/office/drawing/2014/main" id="{30C7844C-DF41-4D60-A945-F3CA174AAA00}"/>
            </a:ext>
          </a:extLst>
        </xdr:cNvPr>
        <xdr:cNvSpPr/>
      </xdr:nvSpPr>
      <xdr:spPr>
        <a:xfrm>
          <a:off x="215900" y="7668508"/>
          <a:ext cx="1558926" cy="638178"/>
        </a:xfrm>
        <a:prstGeom prst="roundRect">
          <a:avLst>
            <a:gd name="adj" fmla="val 50000"/>
          </a:avLst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114300" sx="107000" sy="107000" algn="ctr" rotWithShape="0">
            <a:schemeClr val="tx2">
              <a:lumMod val="50000"/>
              <a:alpha val="2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ca-ES" sz="1000" b="1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NOISE VARIABLES</a:t>
          </a:r>
        </a:p>
      </xdr:txBody>
    </xdr:sp>
    <xdr:clientData/>
  </xdr:twoCellAnchor>
  <xdr:twoCellAnchor>
    <xdr:from>
      <xdr:col>0</xdr:col>
      <xdr:colOff>212725</xdr:colOff>
      <xdr:row>21</xdr:row>
      <xdr:rowOff>71879</xdr:rowOff>
    </xdr:from>
    <xdr:to>
      <xdr:col>0</xdr:col>
      <xdr:colOff>1778001</xdr:colOff>
      <xdr:row>24</xdr:row>
      <xdr:rowOff>168719</xdr:rowOff>
    </xdr:to>
    <xdr:sp macro="" textlink="">
      <xdr:nvSpPr>
        <xdr:cNvPr id="4" name="Rectangle: Rounded Corners 13">
          <a:hlinkClick xmlns:r="http://schemas.openxmlformats.org/officeDocument/2006/relationships" r:id="rId3" tooltip="FATIGUE GUIDELINE"/>
          <a:extLst>
            <a:ext uri="{FF2B5EF4-FFF2-40B4-BE49-F238E27FC236}">
              <a16:creationId xmlns:a16="http://schemas.microsoft.com/office/drawing/2014/main" id="{A89862A9-19D0-42CF-95D8-7FD85C0DD9DA}"/>
            </a:ext>
          </a:extLst>
        </xdr:cNvPr>
        <xdr:cNvSpPr/>
      </xdr:nvSpPr>
      <xdr:spPr>
        <a:xfrm>
          <a:off x="212725" y="3910454"/>
          <a:ext cx="1565276" cy="639765"/>
        </a:xfrm>
        <a:prstGeom prst="roundRect">
          <a:avLst>
            <a:gd name="adj" fmla="val 50000"/>
          </a:avLst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114300" sx="107000" sy="107000" algn="ctr" rotWithShape="0">
            <a:schemeClr val="tx2">
              <a:lumMod val="50000"/>
              <a:alpha val="2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ca-ES" sz="1000" b="1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FATIGUE GUIDELINE</a:t>
          </a:r>
        </a:p>
      </xdr:txBody>
    </xdr:sp>
    <xdr:clientData/>
  </xdr:twoCellAnchor>
  <xdr:twoCellAnchor>
    <xdr:from>
      <xdr:col>0</xdr:col>
      <xdr:colOff>212725</xdr:colOff>
      <xdr:row>26</xdr:row>
      <xdr:rowOff>115447</xdr:rowOff>
    </xdr:from>
    <xdr:to>
      <xdr:col>0</xdr:col>
      <xdr:colOff>1778001</xdr:colOff>
      <xdr:row>30</xdr:row>
      <xdr:rowOff>29724</xdr:rowOff>
    </xdr:to>
    <xdr:sp macro="" textlink="">
      <xdr:nvSpPr>
        <xdr:cNvPr id="5" name="Rectangle: Rounded Corners 13">
          <a:hlinkClick xmlns:r="http://schemas.openxmlformats.org/officeDocument/2006/relationships" r:id="rId4" tooltip="FATIGUE"/>
          <a:extLst>
            <a:ext uri="{FF2B5EF4-FFF2-40B4-BE49-F238E27FC236}">
              <a16:creationId xmlns:a16="http://schemas.microsoft.com/office/drawing/2014/main" id="{73C6885D-7F9F-4FFB-95E1-5B2BC02DD2F6}"/>
            </a:ext>
          </a:extLst>
        </xdr:cNvPr>
        <xdr:cNvSpPr/>
      </xdr:nvSpPr>
      <xdr:spPr>
        <a:xfrm>
          <a:off x="212725" y="4868422"/>
          <a:ext cx="1565276" cy="638177"/>
        </a:xfrm>
        <a:prstGeom prst="roundRect">
          <a:avLst>
            <a:gd name="adj" fmla="val 50000"/>
          </a:avLst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114300" sx="107000" sy="107000" algn="ctr" rotWithShape="0">
            <a:schemeClr val="tx2">
              <a:lumMod val="50000"/>
              <a:alpha val="2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ca-ES" sz="1000" b="1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FATIGUE</a:t>
          </a:r>
        </a:p>
      </xdr:txBody>
    </xdr:sp>
    <xdr:clientData/>
  </xdr:twoCellAnchor>
  <xdr:twoCellAnchor>
    <xdr:from>
      <xdr:col>0</xdr:col>
      <xdr:colOff>212725</xdr:colOff>
      <xdr:row>16</xdr:row>
      <xdr:rowOff>25928</xdr:rowOff>
    </xdr:from>
    <xdr:to>
      <xdr:col>0</xdr:col>
      <xdr:colOff>1778001</xdr:colOff>
      <xdr:row>19</xdr:row>
      <xdr:rowOff>118007</xdr:rowOff>
    </xdr:to>
    <xdr:sp macro="" textlink="">
      <xdr:nvSpPr>
        <xdr:cNvPr id="6" name="Rectangle: Rounded Corners 13">
          <a:hlinkClick xmlns:r="http://schemas.openxmlformats.org/officeDocument/2006/relationships" r:id="rId5" tooltip="DISTRACTION"/>
          <a:extLst>
            <a:ext uri="{FF2B5EF4-FFF2-40B4-BE49-F238E27FC236}">
              <a16:creationId xmlns:a16="http://schemas.microsoft.com/office/drawing/2014/main" id="{F25D928D-8BE3-4D03-A973-F02216DECE31}"/>
            </a:ext>
          </a:extLst>
        </xdr:cNvPr>
        <xdr:cNvSpPr/>
      </xdr:nvSpPr>
      <xdr:spPr>
        <a:xfrm>
          <a:off x="212725" y="2959628"/>
          <a:ext cx="1565276" cy="635004"/>
        </a:xfrm>
        <a:prstGeom prst="roundRect">
          <a:avLst>
            <a:gd name="adj" fmla="val 50000"/>
          </a:avLst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114300" sx="107000" sy="107000" algn="ctr" rotWithShape="0">
            <a:schemeClr val="tx2">
              <a:lumMod val="50000"/>
              <a:alpha val="2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ca-ES" sz="1000" b="1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DISTRACTION</a:t>
          </a:r>
        </a:p>
      </xdr:txBody>
    </xdr:sp>
    <xdr:clientData/>
  </xdr:twoCellAnchor>
  <xdr:twoCellAnchor>
    <xdr:from>
      <xdr:col>0</xdr:col>
      <xdr:colOff>212725</xdr:colOff>
      <xdr:row>10</xdr:row>
      <xdr:rowOff>162541</xdr:rowOff>
    </xdr:from>
    <xdr:to>
      <xdr:col>0</xdr:col>
      <xdr:colOff>1778001</xdr:colOff>
      <xdr:row>14</xdr:row>
      <xdr:rowOff>67294</xdr:rowOff>
    </xdr:to>
    <xdr:sp macro="" textlink="">
      <xdr:nvSpPr>
        <xdr:cNvPr id="7" name="Rectangle: Rounded Corners 13">
          <a:hlinkClick xmlns:r="http://schemas.openxmlformats.org/officeDocument/2006/relationships" r:id="rId6" tooltip="DISTRACTION GUIDELINE"/>
          <a:extLst>
            <a:ext uri="{FF2B5EF4-FFF2-40B4-BE49-F238E27FC236}">
              <a16:creationId xmlns:a16="http://schemas.microsoft.com/office/drawing/2014/main" id="{5207EEE8-11A5-41CF-9F81-A1C8841B5F94}"/>
            </a:ext>
          </a:extLst>
        </xdr:cNvPr>
        <xdr:cNvSpPr/>
      </xdr:nvSpPr>
      <xdr:spPr>
        <a:xfrm>
          <a:off x="212725" y="2000866"/>
          <a:ext cx="1565276" cy="638178"/>
        </a:xfrm>
        <a:prstGeom prst="roundRect">
          <a:avLst>
            <a:gd name="adj" fmla="val 50000"/>
          </a:avLst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114300" sx="107000" sy="107000" algn="ctr" rotWithShape="0">
            <a:schemeClr val="tx2">
              <a:lumMod val="50000"/>
              <a:alpha val="2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ca-ES" sz="1000" b="1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DISTRACTION GUIDELINE</a:t>
          </a:r>
        </a:p>
      </xdr:txBody>
    </xdr:sp>
    <xdr:clientData/>
  </xdr:twoCellAnchor>
  <xdr:twoCellAnchor>
    <xdr:from>
      <xdr:col>0</xdr:col>
      <xdr:colOff>209550</xdr:colOff>
      <xdr:row>5</xdr:row>
      <xdr:rowOff>132467</xdr:rowOff>
    </xdr:from>
    <xdr:to>
      <xdr:col>0</xdr:col>
      <xdr:colOff>1781176</xdr:colOff>
      <xdr:row>9</xdr:row>
      <xdr:rowOff>37219</xdr:rowOff>
    </xdr:to>
    <xdr:sp macro="" textlink="">
      <xdr:nvSpPr>
        <xdr:cNvPr id="8" name="Rectangle: Rounded Corners 13">
          <a:hlinkClick xmlns:r="http://schemas.openxmlformats.org/officeDocument/2006/relationships" r:id="rId7" tooltip="REFERENCE CRITERIA"/>
          <a:extLst>
            <a:ext uri="{FF2B5EF4-FFF2-40B4-BE49-F238E27FC236}">
              <a16:creationId xmlns:a16="http://schemas.microsoft.com/office/drawing/2014/main" id="{2A6FFAA5-20A7-4A4A-887B-A7C20A9D2594}"/>
            </a:ext>
          </a:extLst>
        </xdr:cNvPr>
        <xdr:cNvSpPr/>
      </xdr:nvSpPr>
      <xdr:spPr>
        <a:xfrm>
          <a:off x="209550" y="1046867"/>
          <a:ext cx="1571626" cy="638177"/>
        </a:xfrm>
        <a:prstGeom prst="roundRect">
          <a:avLst>
            <a:gd name="adj" fmla="val 50000"/>
          </a:avLst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114300" sx="107000" sy="107000" algn="ctr" rotWithShape="0">
            <a:schemeClr val="tx2">
              <a:lumMod val="50000"/>
              <a:alpha val="2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ca-ES" sz="1000" b="1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REFERENCE CRITERIA</a:t>
          </a:r>
        </a:p>
      </xdr:txBody>
    </xdr:sp>
    <xdr:clientData/>
  </xdr:twoCellAnchor>
  <xdr:twoCellAnchor>
    <xdr:from>
      <xdr:col>0</xdr:col>
      <xdr:colOff>212725</xdr:colOff>
      <xdr:row>31</xdr:row>
      <xdr:rowOff>155046</xdr:rowOff>
    </xdr:from>
    <xdr:to>
      <xdr:col>0</xdr:col>
      <xdr:colOff>1778001</xdr:colOff>
      <xdr:row>35</xdr:row>
      <xdr:rowOff>59799</xdr:rowOff>
    </xdr:to>
    <xdr:sp macro="" textlink="">
      <xdr:nvSpPr>
        <xdr:cNvPr id="9" name="Rectangle: Rounded Corners 13">
          <a:hlinkClick xmlns:r="http://schemas.openxmlformats.org/officeDocument/2006/relationships" r:id="rId8" tooltip="UNRESPONSIVE DRIVER"/>
          <a:extLst>
            <a:ext uri="{FF2B5EF4-FFF2-40B4-BE49-F238E27FC236}">
              <a16:creationId xmlns:a16="http://schemas.microsoft.com/office/drawing/2014/main" id="{EDFF3570-3223-429D-9AD8-D5693B50C3C2}"/>
            </a:ext>
          </a:extLst>
        </xdr:cNvPr>
        <xdr:cNvSpPr/>
      </xdr:nvSpPr>
      <xdr:spPr>
        <a:xfrm>
          <a:off x="212725" y="5812896"/>
          <a:ext cx="1565276" cy="628653"/>
        </a:xfrm>
        <a:prstGeom prst="roundRect">
          <a:avLst>
            <a:gd name="adj" fmla="val 50000"/>
          </a:avLst>
        </a:prstGeom>
        <a:solidFill>
          <a:schemeClr val="tx2">
            <a:lumMod val="20000"/>
            <a:lumOff val="80000"/>
          </a:schemeClr>
        </a:solidFill>
        <a:ln w="28575">
          <a:solidFill>
            <a:srgbClr val="F4AF84"/>
          </a:solidFill>
        </a:ln>
        <a:effectLst>
          <a:innerShdw blurRad="114300">
            <a:schemeClr val="tx2">
              <a:lumMod val="50000"/>
            </a:scheme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ca-ES" sz="1000" b="1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UNRESPONSIVE DRIVER</a:t>
          </a:r>
        </a:p>
      </xdr:txBody>
    </xdr:sp>
    <xdr:clientData/>
  </xdr:twoCellAnchor>
  <xdr:twoCellAnchor>
    <xdr:from>
      <xdr:col>0</xdr:col>
      <xdr:colOff>212725</xdr:colOff>
      <xdr:row>47</xdr:row>
      <xdr:rowOff>66677</xdr:rowOff>
    </xdr:from>
    <xdr:to>
      <xdr:col>0</xdr:col>
      <xdr:colOff>1778001</xdr:colOff>
      <xdr:row>50</xdr:row>
      <xdr:rowOff>142880</xdr:rowOff>
    </xdr:to>
    <xdr:sp macro="" textlink="">
      <xdr:nvSpPr>
        <xdr:cNvPr id="10" name="Rectangle: Rounded Corners 13">
          <a:hlinkClick xmlns:r="http://schemas.openxmlformats.org/officeDocument/2006/relationships" r:id="rId9" tooltip="INTERVENTION"/>
          <a:extLst>
            <a:ext uri="{FF2B5EF4-FFF2-40B4-BE49-F238E27FC236}">
              <a16:creationId xmlns:a16="http://schemas.microsoft.com/office/drawing/2014/main" id="{30DFD554-EAF8-431E-A1CA-1B12DADE60E3}"/>
            </a:ext>
          </a:extLst>
        </xdr:cNvPr>
        <xdr:cNvSpPr/>
      </xdr:nvSpPr>
      <xdr:spPr>
        <a:xfrm>
          <a:off x="212725" y="8620127"/>
          <a:ext cx="1565276" cy="628653"/>
        </a:xfrm>
        <a:prstGeom prst="roundRect">
          <a:avLst>
            <a:gd name="adj" fmla="val 50000"/>
          </a:avLst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114300" sx="107000" sy="107000" algn="ctr" rotWithShape="0">
            <a:schemeClr val="tx2">
              <a:lumMod val="50000"/>
              <a:alpha val="2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ca-ES" sz="1000" b="1">
              <a:solidFill>
                <a:schemeClr val="bg2">
                  <a:lumMod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INTERVENTION</a:t>
          </a:r>
        </a:p>
      </xdr:txBody>
    </xdr:sp>
    <xdr:clientData/>
  </xdr:twoCellAnchor>
  <xdr:twoCellAnchor editAs="oneCell">
    <xdr:from>
      <xdr:col>0</xdr:col>
      <xdr:colOff>433388</xdr:colOff>
      <xdr:row>0</xdr:row>
      <xdr:rowOff>66675</xdr:rowOff>
    </xdr:from>
    <xdr:to>
      <xdr:col>0</xdr:col>
      <xdr:colOff>1640707</xdr:colOff>
      <xdr:row>5</xdr:row>
      <xdr:rowOff>6862</xdr:rowOff>
    </xdr:to>
    <xdr:pic>
      <xdr:nvPicPr>
        <xdr:cNvPr id="11" name="Picture 10">
          <a:hlinkClick xmlns:r="http://schemas.openxmlformats.org/officeDocument/2006/relationships" r:id="rId10" tooltip="Applus+ IDIADA"/>
          <a:extLst>
            <a:ext uri="{FF2B5EF4-FFF2-40B4-BE49-F238E27FC236}">
              <a16:creationId xmlns:a16="http://schemas.microsoft.com/office/drawing/2014/main" id="{90E62B12-0ADE-4636-B2AB-77A1024B5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66675"/>
          <a:ext cx="1207319" cy="854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DC5A-81DD-42C7-8DB6-A9B5666503C9}">
  <sheetPr codeName="Sheet2">
    <tabColor rgb="FFFC6500"/>
  </sheetPr>
  <dimension ref="A1:O47"/>
  <sheetViews>
    <sheetView showGridLines="0" tabSelected="1" zoomScale="80" zoomScaleNormal="80" workbookViewId="0">
      <pane xSplit="6" ySplit="3" topLeftCell="G4" activePane="bottomRight" state="frozen"/>
      <selection pane="topRight" activeCell="G1" sqref="G1"/>
      <selection pane="bottomLeft" activeCell="A4" sqref="A4"/>
      <selection pane="bottomRight" sqref="A1:A3"/>
    </sheetView>
  </sheetViews>
  <sheetFormatPr defaultColWidth="9.140625" defaultRowHeight="15" customHeight="1" x14ac:dyDescent="0.2"/>
  <cols>
    <col min="1" max="1" width="6.7109375" style="29" customWidth="1"/>
    <col min="2" max="3" width="4.85546875" style="29" customWidth="1"/>
    <col min="4" max="4" width="8.7109375" style="29" customWidth="1"/>
    <col min="5" max="5" width="4.5703125" style="29" bestFit="1" customWidth="1"/>
    <col min="6" max="6" width="38.42578125" style="29" bestFit="1" customWidth="1"/>
    <col min="7" max="7" width="7.7109375" style="29" customWidth="1"/>
    <col min="8" max="8" width="6.42578125" style="29" bestFit="1" customWidth="1"/>
    <col min="9" max="9" width="7.7109375" style="29" customWidth="1"/>
    <col min="10" max="10" width="6.42578125" style="29" bestFit="1" customWidth="1"/>
    <col min="11" max="11" width="7.7109375" style="29" customWidth="1"/>
    <col min="12" max="12" width="6.42578125" style="29" bestFit="1" customWidth="1"/>
    <col min="13" max="13" width="10.85546875" style="29" bestFit="1" customWidth="1"/>
    <col min="14" max="14" width="13.7109375" style="29" bestFit="1" customWidth="1"/>
    <col min="15" max="15" width="15.7109375" style="29" customWidth="1"/>
    <col min="16" max="16384" width="9.140625" style="29"/>
  </cols>
  <sheetData>
    <row r="1" spans="1:15" s="30" customFormat="1" ht="15" customHeight="1" thickBot="1" x14ac:dyDescent="0.3">
      <c r="A1" s="156" t="s">
        <v>74</v>
      </c>
      <c r="B1" s="161" t="s">
        <v>44</v>
      </c>
      <c r="C1" s="159" t="s">
        <v>73</v>
      </c>
      <c r="D1" s="182" t="s">
        <v>72</v>
      </c>
      <c r="E1" s="183" t="s">
        <v>84</v>
      </c>
      <c r="F1" s="187"/>
      <c r="G1" s="183" t="s">
        <v>45</v>
      </c>
      <c r="H1" s="187"/>
      <c r="I1" s="187"/>
      <c r="J1" s="187"/>
      <c r="K1" s="187"/>
      <c r="L1" s="187"/>
      <c r="M1" s="187"/>
      <c r="N1" s="187"/>
      <c r="O1" s="188"/>
    </row>
    <row r="2" spans="1:15" s="30" customFormat="1" ht="15" customHeight="1" thickBot="1" x14ac:dyDescent="0.3">
      <c r="A2" s="157"/>
      <c r="B2" s="161"/>
      <c r="C2" s="159"/>
      <c r="D2" s="183"/>
      <c r="E2" s="183"/>
      <c r="F2" s="187"/>
      <c r="G2" s="193" t="s">
        <v>49</v>
      </c>
      <c r="H2" s="186"/>
      <c r="I2" s="185" t="s">
        <v>50</v>
      </c>
      <c r="J2" s="186"/>
      <c r="K2" s="185" t="s">
        <v>51</v>
      </c>
      <c r="L2" s="186"/>
      <c r="M2" s="191" t="s">
        <v>69</v>
      </c>
      <c r="N2" s="52" t="s">
        <v>105</v>
      </c>
      <c r="O2" s="189" t="s">
        <v>60</v>
      </c>
    </row>
    <row r="3" spans="1:15" s="30" customFormat="1" ht="18.75" thickBot="1" x14ac:dyDescent="0.3">
      <c r="A3" s="158"/>
      <c r="B3" s="162"/>
      <c r="C3" s="160"/>
      <c r="D3" s="184"/>
      <c r="E3" s="184"/>
      <c r="F3" s="187"/>
      <c r="G3" s="92" t="s">
        <v>75</v>
      </c>
      <c r="H3" s="93" t="s">
        <v>65</v>
      </c>
      <c r="I3" s="92" t="s">
        <v>75</v>
      </c>
      <c r="J3" s="93" t="s">
        <v>65</v>
      </c>
      <c r="K3" s="92" t="s">
        <v>75</v>
      </c>
      <c r="L3" s="93" t="s">
        <v>65</v>
      </c>
      <c r="M3" s="192"/>
      <c r="N3" s="53" t="str">
        <f>IFERROR(AVERAGE(N4:N45),"N/A")</f>
        <v>N/A</v>
      </c>
      <c r="O3" s="190"/>
    </row>
    <row r="4" spans="1:15" s="30" customFormat="1" ht="15" customHeight="1" thickBot="1" x14ac:dyDescent="0.3">
      <c r="A4" s="163" t="s">
        <v>0</v>
      </c>
      <c r="B4" s="172" t="s">
        <v>53</v>
      </c>
      <c r="C4" s="172" t="s">
        <v>54</v>
      </c>
      <c r="D4" s="194" t="str" cm="1">
        <f t="array" ref="D4">IFERROR(AVERAGE(IF(($N$2:$TJ$2="Sensitivity") * ISNUMBER(N4:TJ8), N4:TJ8)), "N/A")</f>
        <v>N/A</v>
      </c>
      <c r="E4" s="106" t="s">
        <v>1</v>
      </c>
      <c r="F4" s="98" t="s">
        <v>106</v>
      </c>
      <c r="G4" s="32"/>
      <c r="H4" s="69" t="str">
        <f t="shared" ref="H4:H18" si="0">IF(G4="", "N/A", IF(G4="-", "FAIL", IF(AND(G4&gt;=3, G4&lt;=4), "PASS", "FAIL")))</f>
        <v>N/A</v>
      </c>
      <c r="I4" s="33"/>
      <c r="J4" s="69" t="str">
        <f t="shared" ref="J4:J18" si="1">IF(I4="", "N/A", IF(I4="-", "FAIL", IF(AND(I4&gt;=3, I4&lt;=4), "PASS", "FAIL")))</f>
        <v>N/A</v>
      </c>
      <c r="K4" s="33"/>
      <c r="L4" s="69" t="str">
        <f t="shared" ref="L4:L18" si="2">IF(K4="", "N/A", IF(K4="-", "FAIL", IF(AND(K4&gt;=3, K4&lt;=4), "PASS", "FAIL")))</f>
        <v>N/A</v>
      </c>
      <c r="M4" s="178" t="str" cm="1">
        <f t="array" ref="M4">IF(COUNTIFS(H4:L8,"PASS")+COUNTIFS(H4:L8,"FAIL")=0,"N/A",IF(MIN(_xlfn.BYROW(H4:L8,_xlfn.LAMBDA(_xlpm.row,IF(COUNTIFS(_xlpm.row,"PASS")+COUNTIFS(_xlpm.row,"FAIL")&gt;0,COUNTIF(_xlpm.row,"PASS"),1))))&gt;0,"PASS","FAIL"))</f>
        <v>N/A</v>
      </c>
      <c r="N4" s="34" t="str">
        <f t="shared" ref="N4:N41" si="3">IF(
  (COUNTIFS(H4,"PASS")+COUNTIFS(H4,"FAIL")+COUNTIFS(J4,"PASS")+COUNTIFS(J4,"FAIL")+COUNTIFS(L4,"PASS")+COUNTIFS(L4,"FAIL"))=0,
  "",
  (
    --(UPPER(TRIM(H4))="PASS")
    +--(UPPER(TRIM(J4))="PASS")
    +--(UPPER(TRIM(L4))="PASS")
  )
  /
  (
    (UPPER(TRIM(H4))="PASS")+(UPPER(TRIM(H4))="FAIL")
    +(UPPER(TRIM(J4))="PASS")+(UPPER(TRIM(J4))="FAIL")
    +(UPPER(TRIM(L4))="PASS")+(UPPER(TRIM(L4))="FAIL")
  )
)</f>
        <v/>
      </c>
      <c r="O4" s="77"/>
    </row>
    <row r="5" spans="1:15" s="30" customFormat="1" ht="15" customHeight="1" thickBot="1" x14ac:dyDescent="0.3">
      <c r="A5" s="163"/>
      <c r="B5" s="172"/>
      <c r="C5" s="172"/>
      <c r="D5" s="196"/>
      <c r="E5" s="107" t="s">
        <v>2</v>
      </c>
      <c r="F5" s="99" t="s">
        <v>107</v>
      </c>
      <c r="G5" s="112"/>
      <c r="H5" s="70" t="str">
        <f t="shared" si="0"/>
        <v>N/A</v>
      </c>
      <c r="I5" s="113"/>
      <c r="J5" s="70" t="str">
        <f t="shared" si="1"/>
        <v>N/A</v>
      </c>
      <c r="K5" s="113"/>
      <c r="L5" s="70" t="str">
        <f t="shared" si="2"/>
        <v>N/A</v>
      </c>
      <c r="M5" s="179"/>
      <c r="N5" s="35" t="str">
        <f t="shared" si="3"/>
        <v/>
      </c>
      <c r="O5" s="57"/>
    </row>
    <row r="6" spans="1:15" s="30" customFormat="1" ht="15" customHeight="1" thickBot="1" x14ac:dyDescent="0.3">
      <c r="A6" s="163"/>
      <c r="B6" s="172"/>
      <c r="C6" s="172"/>
      <c r="D6" s="196"/>
      <c r="E6" s="107" t="s">
        <v>3</v>
      </c>
      <c r="F6" s="99" t="s">
        <v>108</v>
      </c>
      <c r="G6" s="112"/>
      <c r="H6" s="70" t="str">
        <f t="shared" si="0"/>
        <v>N/A</v>
      </c>
      <c r="I6" s="113"/>
      <c r="J6" s="70" t="str">
        <f t="shared" si="1"/>
        <v>N/A</v>
      </c>
      <c r="K6" s="113"/>
      <c r="L6" s="70" t="str">
        <f t="shared" si="2"/>
        <v>N/A</v>
      </c>
      <c r="M6" s="179"/>
      <c r="N6" s="35" t="str">
        <f t="shared" si="3"/>
        <v/>
      </c>
      <c r="O6" s="57"/>
    </row>
    <row r="7" spans="1:15" s="30" customFormat="1" ht="15" customHeight="1" thickBot="1" x14ac:dyDescent="0.3">
      <c r="A7" s="163"/>
      <c r="B7" s="172"/>
      <c r="C7" s="172"/>
      <c r="D7" s="196"/>
      <c r="E7" s="107" t="s">
        <v>4</v>
      </c>
      <c r="F7" s="99" t="s">
        <v>109</v>
      </c>
      <c r="G7" s="112"/>
      <c r="H7" s="70" t="str">
        <f t="shared" si="0"/>
        <v>N/A</v>
      </c>
      <c r="I7" s="113"/>
      <c r="J7" s="70" t="str">
        <f t="shared" si="1"/>
        <v>N/A</v>
      </c>
      <c r="K7" s="113"/>
      <c r="L7" s="70" t="str">
        <f t="shared" si="2"/>
        <v>N/A</v>
      </c>
      <c r="M7" s="179"/>
      <c r="N7" s="35" t="str">
        <f t="shared" si="3"/>
        <v/>
      </c>
      <c r="O7" s="57"/>
    </row>
    <row r="8" spans="1:15" s="30" customFormat="1" ht="15" customHeight="1" thickBot="1" x14ac:dyDescent="0.3">
      <c r="A8" s="163"/>
      <c r="B8" s="172"/>
      <c r="C8" s="172"/>
      <c r="D8" s="195"/>
      <c r="E8" s="108" t="s">
        <v>5</v>
      </c>
      <c r="F8" s="100" t="s">
        <v>110</v>
      </c>
      <c r="G8" s="38"/>
      <c r="H8" s="71" t="str">
        <f t="shared" si="0"/>
        <v>N/A</v>
      </c>
      <c r="I8" s="39"/>
      <c r="J8" s="71" t="str">
        <f t="shared" si="1"/>
        <v>N/A</v>
      </c>
      <c r="K8" s="39"/>
      <c r="L8" s="71" t="str">
        <f t="shared" si="2"/>
        <v>N/A</v>
      </c>
      <c r="M8" s="180"/>
      <c r="N8" s="40" t="str">
        <f t="shared" si="3"/>
        <v/>
      </c>
      <c r="O8" s="56"/>
    </row>
    <row r="9" spans="1:15" s="30" customFormat="1" ht="15" customHeight="1" thickBot="1" x14ac:dyDescent="0.3">
      <c r="A9" s="163"/>
      <c r="B9" s="172"/>
      <c r="C9" s="172" t="s">
        <v>55</v>
      </c>
      <c r="D9" s="194" t="str" cm="1">
        <f t="array" ref="D9">IFERROR(AVERAGE(IF(($N$2:$TJ$2="Sensitivity") * ISNUMBER(N9:TJ10), N9:TJ10)), "N/A")</f>
        <v>N/A</v>
      </c>
      <c r="E9" s="109" t="s">
        <v>6</v>
      </c>
      <c r="F9" s="98" t="s">
        <v>110</v>
      </c>
      <c r="G9" s="114"/>
      <c r="H9" s="72" t="str">
        <f t="shared" si="0"/>
        <v>N/A</v>
      </c>
      <c r="I9" s="115"/>
      <c r="J9" s="72" t="str">
        <f t="shared" si="1"/>
        <v>N/A</v>
      </c>
      <c r="K9" s="115"/>
      <c r="L9" s="72" t="str">
        <f t="shared" si="2"/>
        <v>N/A</v>
      </c>
      <c r="M9" s="178" t="str" cm="1">
        <f t="array" ref="M9">IF(COUNTIFS(H9:L10,"PASS")+COUNTIFS(H9:L10,"FAIL")=0,"N/A",IF(MIN(_xlfn.BYROW(H9:L10,_xlfn.LAMBDA(_xlpm.row,IF(COUNTIFS(_xlpm.row,"PASS")+COUNTIFS(_xlpm.row,"FAIL")&gt;0,COUNTIF(_xlpm.row,"PASS"),1))))&gt;0,"PASS","FAIL"))</f>
        <v>N/A</v>
      </c>
      <c r="N9" s="41" t="str">
        <f t="shared" si="3"/>
        <v/>
      </c>
      <c r="O9" s="134"/>
    </row>
    <row r="10" spans="1:15" s="30" customFormat="1" ht="15" customHeight="1" thickBot="1" x14ac:dyDescent="0.3">
      <c r="A10" s="163"/>
      <c r="B10" s="172"/>
      <c r="C10" s="175"/>
      <c r="D10" s="195"/>
      <c r="E10" s="108" t="s">
        <v>7</v>
      </c>
      <c r="F10" s="100" t="s">
        <v>111</v>
      </c>
      <c r="G10" s="38"/>
      <c r="H10" s="71" t="str">
        <f t="shared" si="0"/>
        <v>N/A</v>
      </c>
      <c r="I10" s="39"/>
      <c r="J10" s="71" t="str">
        <f t="shared" si="1"/>
        <v>N/A</v>
      </c>
      <c r="K10" s="39"/>
      <c r="L10" s="71" t="str">
        <f t="shared" si="2"/>
        <v>N/A</v>
      </c>
      <c r="M10" s="180"/>
      <c r="N10" s="40" t="str">
        <f t="shared" si="3"/>
        <v/>
      </c>
      <c r="O10" s="56"/>
    </row>
    <row r="11" spans="1:15" s="30" customFormat="1" ht="15" customHeight="1" thickBot="1" x14ac:dyDescent="0.3">
      <c r="A11" s="163"/>
      <c r="B11" s="172"/>
      <c r="C11" s="172" t="s">
        <v>56</v>
      </c>
      <c r="D11" s="194" t="str" cm="1">
        <f t="array" ref="D11">IFERROR(AVERAGE(IF(($N$2:$TJ$2="Sensitivity") * ISNUMBER(N11:TJ12), N11:TJ12)), "N/A")</f>
        <v>N/A</v>
      </c>
      <c r="E11" s="109" t="s">
        <v>8</v>
      </c>
      <c r="F11" s="98" t="s">
        <v>108</v>
      </c>
      <c r="G11" s="114"/>
      <c r="H11" s="72" t="str">
        <f t="shared" si="0"/>
        <v>N/A</v>
      </c>
      <c r="I11" s="115"/>
      <c r="J11" s="72" t="str">
        <f t="shared" si="1"/>
        <v>N/A</v>
      </c>
      <c r="K11" s="115"/>
      <c r="L11" s="72" t="str">
        <f t="shared" si="2"/>
        <v>N/A</v>
      </c>
      <c r="M11" s="178" t="str" cm="1">
        <f t="array" ref="M11">IF(COUNTIFS(H11:L12,"PASS")+COUNTIFS(H11:L12,"FAIL")=0,"N/A",IF(MIN(_xlfn.BYROW(H11:L12,_xlfn.LAMBDA(_xlpm.row,IF(COUNTIFS(_xlpm.row,"PASS")+COUNTIFS(_xlpm.row,"FAIL")&gt;0,COUNTIF(_xlpm.row,"PASS"),1))))&gt;0,"PASS","FAIL"))</f>
        <v>N/A</v>
      </c>
      <c r="N11" s="41" t="str">
        <f t="shared" si="3"/>
        <v/>
      </c>
      <c r="O11" s="134"/>
    </row>
    <row r="12" spans="1:15" s="30" customFormat="1" ht="15" customHeight="1" thickBot="1" x14ac:dyDescent="0.3">
      <c r="A12" s="163"/>
      <c r="B12" s="175"/>
      <c r="C12" s="173"/>
      <c r="D12" s="195"/>
      <c r="E12" s="108" t="s">
        <v>9</v>
      </c>
      <c r="F12" s="100" t="s">
        <v>112</v>
      </c>
      <c r="G12" s="38"/>
      <c r="H12" s="71" t="str">
        <f t="shared" si="0"/>
        <v>N/A</v>
      </c>
      <c r="I12" s="39"/>
      <c r="J12" s="71" t="str">
        <f t="shared" si="1"/>
        <v>N/A</v>
      </c>
      <c r="K12" s="39"/>
      <c r="L12" s="71" t="str">
        <f t="shared" si="2"/>
        <v>N/A</v>
      </c>
      <c r="M12" s="180"/>
      <c r="N12" s="40" t="str">
        <f t="shared" si="3"/>
        <v/>
      </c>
      <c r="O12" s="56"/>
    </row>
    <row r="13" spans="1:15" s="30" customFormat="1" ht="15" customHeight="1" thickBot="1" x14ac:dyDescent="0.3">
      <c r="A13" s="163"/>
      <c r="B13" s="172" t="s">
        <v>10</v>
      </c>
      <c r="C13" s="177" t="s">
        <v>54</v>
      </c>
      <c r="D13" s="194" t="str" cm="1">
        <f t="array" ref="D13">IFERROR(AVERAGE(IF(($N$2:$TJ$2="Sensitivity") * ISNUMBER(N13:TJ15), N13:TJ15)), "N/A")</f>
        <v>N/A</v>
      </c>
      <c r="E13" s="109" t="s">
        <v>11</v>
      </c>
      <c r="F13" s="98" t="s">
        <v>113</v>
      </c>
      <c r="G13" s="116"/>
      <c r="H13" s="72" t="str">
        <f t="shared" si="0"/>
        <v>N/A</v>
      </c>
      <c r="I13" s="115"/>
      <c r="J13" s="72" t="str">
        <f t="shared" si="1"/>
        <v>N/A</v>
      </c>
      <c r="K13" s="115"/>
      <c r="L13" s="72" t="str">
        <f t="shared" si="2"/>
        <v>N/A</v>
      </c>
      <c r="M13" s="178" t="str" cm="1">
        <f t="array" ref="M13">IF(COUNTIFS(H13:L15,"PASS")+COUNTIFS(H13:L15,"FAIL")=0,"N/A",IF(MIN(_xlfn.BYROW(H13:L15,_xlfn.LAMBDA(_xlpm.row,IF(COUNTIFS(_xlpm.row,"PASS")+COUNTIFS(_xlpm.row,"FAIL")&gt;0,COUNTIF(_xlpm.row,"PASS"),1))))&gt;0,"PASS","FAIL"))</f>
        <v>N/A</v>
      </c>
      <c r="N13" s="41" t="str">
        <f t="shared" si="3"/>
        <v/>
      </c>
      <c r="O13" s="134"/>
    </row>
    <row r="14" spans="1:15" s="30" customFormat="1" ht="15" customHeight="1" thickBot="1" x14ac:dyDescent="0.3">
      <c r="A14" s="163"/>
      <c r="B14" s="172"/>
      <c r="C14" s="177"/>
      <c r="D14" s="196"/>
      <c r="E14" s="107" t="s">
        <v>12</v>
      </c>
      <c r="F14" s="99" t="s">
        <v>114</v>
      </c>
      <c r="G14" s="112"/>
      <c r="H14" s="70" t="str">
        <f t="shared" si="0"/>
        <v>N/A</v>
      </c>
      <c r="I14" s="113"/>
      <c r="J14" s="70" t="str">
        <f t="shared" si="1"/>
        <v>N/A</v>
      </c>
      <c r="K14" s="113"/>
      <c r="L14" s="70" t="str">
        <f t="shared" si="2"/>
        <v>N/A</v>
      </c>
      <c r="M14" s="179"/>
      <c r="N14" s="35" t="str">
        <f t="shared" si="3"/>
        <v/>
      </c>
      <c r="O14" s="57"/>
    </row>
    <row r="15" spans="1:15" s="30" customFormat="1" ht="15" customHeight="1" thickBot="1" x14ac:dyDescent="0.3">
      <c r="A15" s="163"/>
      <c r="B15" s="172"/>
      <c r="C15" s="166"/>
      <c r="D15" s="195"/>
      <c r="E15" s="108" t="s">
        <v>13</v>
      </c>
      <c r="F15" s="100" t="s">
        <v>115</v>
      </c>
      <c r="G15" s="38"/>
      <c r="H15" s="71" t="str">
        <f t="shared" si="0"/>
        <v>N/A</v>
      </c>
      <c r="I15" s="39"/>
      <c r="J15" s="71" t="str">
        <f t="shared" si="1"/>
        <v>N/A</v>
      </c>
      <c r="K15" s="39"/>
      <c r="L15" s="71" t="str">
        <f t="shared" si="2"/>
        <v>N/A</v>
      </c>
      <c r="M15" s="180"/>
      <c r="N15" s="40" t="str">
        <f t="shared" si="3"/>
        <v/>
      </c>
      <c r="O15" s="56"/>
    </row>
    <row r="16" spans="1:15" s="30" customFormat="1" ht="15" customHeight="1" thickBot="1" x14ac:dyDescent="0.3">
      <c r="A16" s="163"/>
      <c r="B16" s="172"/>
      <c r="C16" s="177" t="s">
        <v>55</v>
      </c>
      <c r="D16" s="194" t="str" cm="1">
        <f t="array" ref="D16">IFERROR(AVERAGE(IF(($N$2:$TJ$2="Sensitivity") * ISNUMBER(N16:TJ18), N16:TJ18)), "N/A")</f>
        <v>N/A</v>
      </c>
      <c r="E16" s="109" t="s">
        <v>14</v>
      </c>
      <c r="F16" s="98" t="s">
        <v>116</v>
      </c>
      <c r="G16" s="114"/>
      <c r="H16" s="72" t="str">
        <f t="shared" si="0"/>
        <v>N/A</v>
      </c>
      <c r="I16" s="115"/>
      <c r="J16" s="72" t="str">
        <f t="shared" si="1"/>
        <v>N/A</v>
      </c>
      <c r="K16" s="115"/>
      <c r="L16" s="72" t="str">
        <f t="shared" si="2"/>
        <v>N/A</v>
      </c>
      <c r="M16" s="178" t="str" cm="1">
        <f t="array" ref="M16">IF(COUNTIFS(H16:L18,"PASS")+COUNTIFS(H16:L18,"FAIL")=0,"N/A",IF(MIN(_xlfn.BYROW(H16:L18,_xlfn.LAMBDA(_xlpm.row,IF(COUNTIFS(_xlpm.row,"PASS")+COUNTIFS(_xlpm.row,"FAIL")&gt;0,COUNTIF(_xlpm.row,"PASS"),1))))&gt;0,"PASS","FAIL"))</f>
        <v>N/A</v>
      </c>
      <c r="N16" s="41" t="str">
        <f t="shared" si="3"/>
        <v/>
      </c>
      <c r="O16" s="134"/>
    </row>
    <row r="17" spans="1:15" s="30" customFormat="1" ht="15" customHeight="1" thickBot="1" x14ac:dyDescent="0.3">
      <c r="A17" s="163"/>
      <c r="B17" s="172"/>
      <c r="C17" s="177"/>
      <c r="D17" s="196"/>
      <c r="E17" s="107" t="s">
        <v>15</v>
      </c>
      <c r="F17" s="99" t="s">
        <v>115</v>
      </c>
      <c r="G17" s="112"/>
      <c r="H17" s="70" t="str">
        <f t="shared" si="0"/>
        <v>N/A</v>
      </c>
      <c r="I17" s="113"/>
      <c r="J17" s="70" t="str">
        <f t="shared" si="1"/>
        <v>N/A</v>
      </c>
      <c r="K17" s="113"/>
      <c r="L17" s="70" t="str">
        <f t="shared" si="2"/>
        <v>N/A</v>
      </c>
      <c r="M17" s="179"/>
      <c r="N17" s="35" t="str">
        <f t="shared" si="3"/>
        <v/>
      </c>
      <c r="O17" s="57"/>
    </row>
    <row r="18" spans="1:15" s="30" customFormat="1" ht="15" customHeight="1" thickBot="1" x14ac:dyDescent="0.3">
      <c r="A18" s="174"/>
      <c r="B18" s="172"/>
      <c r="C18" s="177"/>
      <c r="D18" s="195"/>
      <c r="E18" s="108" t="s">
        <v>16</v>
      </c>
      <c r="F18" s="100" t="s">
        <v>113</v>
      </c>
      <c r="G18" s="38"/>
      <c r="H18" s="71" t="str">
        <f t="shared" si="0"/>
        <v>N/A</v>
      </c>
      <c r="I18" s="39"/>
      <c r="J18" s="71" t="str">
        <f t="shared" si="1"/>
        <v>N/A</v>
      </c>
      <c r="K18" s="39"/>
      <c r="L18" s="71" t="str">
        <f t="shared" si="2"/>
        <v>N/A</v>
      </c>
      <c r="M18" s="180"/>
      <c r="N18" s="40" t="str">
        <f t="shared" si="3"/>
        <v/>
      </c>
      <c r="O18" s="56"/>
    </row>
    <row r="19" spans="1:15" s="30" customFormat="1" ht="15" customHeight="1" x14ac:dyDescent="0.25">
      <c r="A19" s="163" t="s">
        <v>57</v>
      </c>
      <c r="B19" s="172" t="s">
        <v>104</v>
      </c>
      <c r="C19" s="172" t="s">
        <v>54</v>
      </c>
      <c r="D19" s="194" t="str" cm="1">
        <f t="array" ref="D19">IFERROR(AVERAGE(IF(($N$2:$TJ$2="Sensitivity") * ISNUMBER(N19:TJ20), N19:TJ20)), "N/A")</f>
        <v>N/A</v>
      </c>
      <c r="E19" s="106" t="s">
        <v>17</v>
      </c>
      <c r="F19" s="98" t="s">
        <v>110</v>
      </c>
      <c r="G19" s="117"/>
      <c r="H19" s="69" t="str">
        <f>IF(G19="", "N/A", IF(G19="-", "FAIL", IF(G19&lt;=12, "PASS", "FAIL")))</f>
        <v>N/A</v>
      </c>
      <c r="I19" s="33"/>
      <c r="J19" s="69" t="str">
        <f>IF(I19="", "N/A", IF(I19="-", "FAIL", IF(I19&lt;=12, "PASS", "FAIL")))</f>
        <v>N/A</v>
      </c>
      <c r="K19" s="33"/>
      <c r="L19" s="69" t="str">
        <f>IF(K19="", "N/A", IF(K19="-", "FAIL", IF(K19&lt;=12, "PASS", "FAIL")))</f>
        <v>N/A</v>
      </c>
      <c r="M19" s="178" t="str" cm="1">
        <f t="array" ref="M19">IF(COUNTIFS(H19:L20,"PASS")+COUNTIFS(H19:L20,"FAIL")=0,"N/A",IF(MIN(_xlfn.BYROW(H19:L20,_xlfn.LAMBDA(_xlpm.row,IF(COUNTIFS(_xlpm.row,"PASS")+COUNTIFS(_xlpm.row,"FAIL")&gt;0,COUNTIF(_xlpm.row,"PASS"),1))))&gt;0,"PASS","FAIL"))</f>
        <v>N/A</v>
      </c>
      <c r="N19" s="34" t="str">
        <f t="shared" si="3"/>
        <v/>
      </c>
      <c r="O19" s="77"/>
    </row>
    <row r="20" spans="1:15" s="30" customFormat="1" ht="15" customHeight="1" thickBot="1" x14ac:dyDescent="0.3">
      <c r="A20" s="164"/>
      <c r="B20" s="170"/>
      <c r="C20" s="173"/>
      <c r="D20" s="195"/>
      <c r="E20" s="108" t="s">
        <v>18</v>
      </c>
      <c r="F20" s="100" t="s">
        <v>108</v>
      </c>
      <c r="G20" s="118"/>
      <c r="H20" s="71" t="str">
        <f t="shared" ref="H20:H45" si="4">IF(G20="", "N/A", IF(G20="-", "FAIL", IF(G20&lt;=12, "PASS", "FAIL")))</f>
        <v>N/A</v>
      </c>
      <c r="I20" s="39"/>
      <c r="J20" s="71" t="str">
        <f t="shared" ref="J20" si="5">IF(I20="", "N/A", IF(I20="-", "FAIL", IF(I20&lt;=12, "PASS", "FAIL")))</f>
        <v>N/A</v>
      </c>
      <c r="K20" s="39"/>
      <c r="L20" s="71" t="str">
        <f t="shared" ref="L20" si="6">IF(K20="", "N/A", IF(K20="-", "FAIL", IF(K20&lt;=12, "PASS", "FAIL")))</f>
        <v>N/A</v>
      </c>
      <c r="M20" s="180"/>
      <c r="N20" s="40" t="str">
        <f t="shared" si="3"/>
        <v/>
      </c>
      <c r="O20" s="56"/>
    </row>
    <row r="21" spans="1:15" s="30" customFormat="1" ht="15" customHeight="1" x14ac:dyDescent="0.25">
      <c r="A21" s="164"/>
      <c r="B21" s="170"/>
      <c r="C21" s="172" t="s">
        <v>55</v>
      </c>
      <c r="D21" s="194" t="str" cm="1">
        <f t="array" ref="D21">IFERROR(AVERAGE(IF(($N$2:$TJ$2="Sensitivity") * ISNUMBER(N21:TJ22), N21:TJ22)), "N/A")</f>
        <v>N/A</v>
      </c>
      <c r="E21" s="106" t="s">
        <v>19</v>
      </c>
      <c r="F21" s="101" t="s">
        <v>108</v>
      </c>
      <c r="G21" s="119"/>
      <c r="H21" s="73" t="str">
        <f t="shared" si="4"/>
        <v>N/A</v>
      </c>
      <c r="I21" s="120"/>
      <c r="J21" s="73" t="str">
        <f t="shared" ref="J21" si="7">IF(I21="", "N/A", IF(I21="-", "FAIL", IF(I21&lt;=12, "PASS", "FAIL")))</f>
        <v>N/A</v>
      </c>
      <c r="K21" s="120"/>
      <c r="L21" s="73" t="str">
        <f t="shared" ref="L21" si="8">IF(K21="", "N/A", IF(K21="-", "FAIL", IF(K21&lt;=12, "PASS", "FAIL")))</f>
        <v>N/A</v>
      </c>
      <c r="M21" s="178" t="str" cm="1">
        <f t="array" ref="M21">IF(COUNTIFS(H21:L22,"PASS")+COUNTIFS(H21:L22,"FAIL")=0,"N/A",IF(MIN(_xlfn.BYROW(H21:L22,_xlfn.LAMBDA(_xlpm.row,IF(COUNTIFS(_xlpm.row,"PASS")+COUNTIFS(_xlpm.row,"FAIL")&gt;0,COUNTIF(_xlpm.row,"PASS"),1))))&gt;0,"PASS","FAIL"))</f>
        <v>N/A</v>
      </c>
      <c r="N21" s="47" t="str">
        <f t="shared" si="3"/>
        <v/>
      </c>
      <c r="O21" s="135"/>
    </row>
    <row r="22" spans="1:15" s="30" customFormat="1" ht="15" customHeight="1" thickBot="1" x14ac:dyDescent="0.3">
      <c r="A22" s="164"/>
      <c r="B22" s="173"/>
      <c r="C22" s="170"/>
      <c r="D22" s="195"/>
      <c r="E22" s="110" t="s">
        <v>20</v>
      </c>
      <c r="F22" s="100" t="s">
        <v>110</v>
      </c>
      <c r="G22" s="121"/>
      <c r="H22" s="71" t="str">
        <f t="shared" si="4"/>
        <v>N/A</v>
      </c>
      <c r="I22" s="39"/>
      <c r="J22" s="71" t="str">
        <f t="shared" ref="J22" si="9">IF(I22="", "N/A", IF(I22="-", "FAIL", IF(I22&lt;=12, "PASS", "FAIL")))</f>
        <v>N/A</v>
      </c>
      <c r="K22" s="39"/>
      <c r="L22" s="71" t="str">
        <f t="shared" ref="L22" si="10">IF(K22="", "N/A", IF(K22="-", "FAIL", IF(K22&lt;=12, "PASS", "FAIL")))</f>
        <v>N/A</v>
      </c>
      <c r="M22" s="180"/>
      <c r="N22" s="40" t="str">
        <f t="shared" si="3"/>
        <v/>
      </c>
      <c r="O22" s="56"/>
    </row>
    <row r="23" spans="1:15" s="30" customFormat="1" ht="15" customHeight="1" x14ac:dyDescent="0.25">
      <c r="A23" s="164"/>
      <c r="B23" s="172" t="s">
        <v>10</v>
      </c>
      <c r="C23" s="172" t="s">
        <v>54</v>
      </c>
      <c r="D23" s="194" t="str" cm="1">
        <f t="array" ref="D23">IFERROR(AVERAGE(IF(($N$2:$TJ$2="Sensitivity") * ISNUMBER(N23:TJ26), N23:TJ26)), "N/A")</f>
        <v>N/A</v>
      </c>
      <c r="E23" s="106" t="s">
        <v>21</v>
      </c>
      <c r="F23" s="98" t="s">
        <v>113</v>
      </c>
      <c r="G23" s="122"/>
      <c r="H23" s="69" t="str">
        <f t="shared" si="4"/>
        <v>N/A</v>
      </c>
      <c r="I23" s="33"/>
      <c r="J23" s="69" t="str">
        <f t="shared" ref="J23" si="11">IF(I23="", "N/A", IF(I23="-", "FAIL", IF(I23&lt;=12, "PASS", "FAIL")))</f>
        <v>N/A</v>
      </c>
      <c r="K23" s="33"/>
      <c r="L23" s="69" t="str">
        <f t="shared" ref="L23" si="12">IF(K23="", "N/A", IF(K23="-", "FAIL", IF(K23&lt;=12, "PASS", "FAIL")))</f>
        <v>N/A</v>
      </c>
      <c r="M23" s="178" t="str" cm="1">
        <f t="array" ref="M23">IF(COUNTIFS(H23:L26,"PASS")+COUNTIFS(H23:L26,"FAIL")=0,"N/A",IF(MIN(_xlfn.BYROW(H23:L26,_xlfn.LAMBDA(_xlpm.row,IF(COUNTIFS(_xlpm.row,"PASS")+COUNTIFS(_xlpm.row,"FAIL")&gt;0,COUNTIF(_xlpm.row,"PASS"),1))))&gt;0,"PASS","FAIL"))</f>
        <v>N/A</v>
      </c>
      <c r="N23" s="34" t="str">
        <f t="shared" si="3"/>
        <v/>
      </c>
      <c r="O23" s="77"/>
    </row>
    <row r="24" spans="1:15" s="30" customFormat="1" ht="15" customHeight="1" x14ac:dyDescent="0.25">
      <c r="A24" s="164"/>
      <c r="B24" s="170"/>
      <c r="C24" s="170"/>
      <c r="D24" s="196"/>
      <c r="E24" s="107" t="s">
        <v>22</v>
      </c>
      <c r="F24" s="99" t="s">
        <v>114</v>
      </c>
      <c r="G24" s="123"/>
      <c r="H24" s="70" t="str">
        <f t="shared" si="4"/>
        <v>N/A</v>
      </c>
      <c r="I24" s="113"/>
      <c r="J24" s="70" t="str">
        <f t="shared" ref="J24" si="13">IF(I24="", "N/A", IF(I24="-", "FAIL", IF(I24&lt;=12, "PASS", "FAIL")))</f>
        <v>N/A</v>
      </c>
      <c r="K24" s="113"/>
      <c r="L24" s="70" t="str">
        <f t="shared" ref="L24" si="14">IF(K24="", "N/A", IF(K24="-", "FAIL", IF(K24&lt;=12, "PASS", "FAIL")))</f>
        <v>N/A</v>
      </c>
      <c r="M24" s="179"/>
      <c r="N24" s="43" t="str">
        <f t="shared" si="3"/>
        <v/>
      </c>
      <c r="O24" s="136"/>
    </row>
    <row r="25" spans="1:15" s="30" customFormat="1" ht="15" customHeight="1" x14ac:dyDescent="0.2">
      <c r="A25" s="164"/>
      <c r="B25" s="170"/>
      <c r="C25" s="170"/>
      <c r="D25" s="196"/>
      <c r="E25" s="109" t="s">
        <v>23</v>
      </c>
      <c r="F25" s="99" t="s">
        <v>115</v>
      </c>
      <c r="G25" s="124"/>
      <c r="H25" s="72" t="str">
        <f t="shared" si="4"/>
        <v>N/A</v>
      </c>
      <c r="I25" s="125"/>
      <c r="J25" s="72" t="str">
        <f t="shared" ref="J25" si="15">IF(I25="", "N/A", IF(I25="-", "FAIL", IF(I25&lt;=12, "PASS", "FAIL")))</f>
        <v>N/A</v>
      </c>
      <c r="K25" s="115"/>
      <c r="L25" s="72" t="str">
        <f t="shared" ref="L25" si="16">IF(K25="", "N/A", IF(K25="-", "FAIL", IF(K25&lt;=12, "PASS", "FAIL")))</f>
        <v>N/A</v>
      </c>
      <c r="M25" s="179"/>
      <c r="N25" s="35" t="str">
        <f t="shared" si="3"/>
        <v/>
      </c>
      <c r="O25" s="57"/>
    </row>
    <row r="26" spans="1:15" s="30" customFormat="1" ht="15" customHeight="1" thickBot="1" x14ac:dyDescent="0.25">
      <c r="A26" s="164"/>
      <c r="B26" s="170"/>
      <c r="C26" s="173"/>
      <c r="D26" s="195"/>
      <c r="E26" s="108" t="s">
        <v>24</v>
      </c>
      <c r="F26" s="100" t="s">
        <v>107</v>
      </c>
      <c r="G26" s="126"/>
      <c r="H26" s="71" t="str">
        <f t="shared" si="4"/>
        <v>N/A</v>
      </c>
      <c r="I26" s="39"/>
      <c r="J26" s="71" t="str">
        <f t="shared" ref="J26" si="17">IF(I26="", "N/A", IF(I26="-", "FAIL", IF(I26&lt;=12, "PASS", "FAIL")))</f>
        <v>N/A</v>
      </c>
      <c r="K26" s="39"/>
      <c r="L26" s="71" t="str">
        <f t="shared" ref="L26" si="18">IF(K26="", "N/A", IF(K26="-", "FAIL", IF(K26&lt;=12, "PASS", "FAIL")))</f>
        <v>N/A</v>
      </c>
      <c r="M26" s="180"/>
      <c r="N26" s="40" t="str">
        <f t="shared" si="3"/>
        <v/>
      </c>
      <c r="O26" s="56"/>
    </row>
    <row r="27" spans="1:15" s="30" customFormat="1" ht="15" customHeight="1" x14ac:dyDescent="0.2">
      <c r="A27" s="164"/>
      <c r="B27" s="170"/>
      <c r="C27" s="170" t="s">
        <v>55</v>
      </c>
      <c r="D27" s="194" t="str" cm="1">
        <f t="array" ref="D27">IFERROR(AVERAGE(IF(($N$2:$TJ$2="Sensitivity") * ISNUMBER(N27:TJ30), N27:TJ30)), "N/A")</f>
        <v>N/A</v>
      </c>
      <c r="E27" s="109" t="s">
        <v>25</v>
      </c>
      <c r="F27" s="98" t="s">
        <v>116</v>
      </c>
      <c r="G27" s="122"/>
      <c r="H27" s="69" t="str">
        <f t="shared" si="4"/>
        <v>N/A</v>
      </c>
      <c r="I27" s="127"/>
      <c r="J27" s="69" t="str">
        <f t="shared" ref="J27" si="19">IF(I27="", "N/A", IF(I27="-", "FAIL", IF(I27&lt;=12, "PASS", "FAIL")))</f>
        <v>N/A</v>
      </c>
      <c r="K27" s="33"/>
      <c r="L27" s="69" t="str">
        <f t="shared" ref="L27" si="20">IF(K27="", "N/A", IF(K27="-", "FAIL", IF(K27&lt;=12, "PASS", "FAIL")))</f>
        <v>N/A</v>
      </c>
      <c r="M27" s="178" t="str" cm="1">
        <f t="array" ref="M27">IF(COUNTIFS(H27:L30,"PASS")+COUNTIFS(H27:L30,"FAIL")=0,"N/A",IF(MIN(_xlfn.BYROW(H27:L30,_xlfn.LAMBDA(_xlpm.row,IF(COUNTIFS(_xlpm.row,"PASS")+COUNTIFS(_xlpm.row,"FAIL")&gt;0,COUNTIF(_xlpm.row,"PASS"),1))))&gt;0,"PASS","FAIL"))</f>
        <v>N/A</v>
      </c>
      <c r="N27" s="34" t="str">
        <f t="shared" si="3"/>
        <v/>
      </c>
      <c r="O27" s="135"/>
    </row>
    <row r="28" spans="1:15" s="30" customFormat="1" ht="15" customHeight="1" x14ac:dyDescent="0.2">
      <c r="A28" s="164"/>
      <c r="B28" s="170"/>
      <c r="C28" s="170"/>
      <c r="D28" s="196"/>
      <c r="E28" s="107" t="s">
        <v>26</v>
      </c>
      <c r="F28" s="102" t="s">
        <v>115</v>
      </c>
      <c r="G28" s="124"/>
      <c r="H28" s="72" t="str">
        <f t="shared" si="4"/>
        <v>N/A</v>
      </c>
      <c r="I28" s="125"/>
      <c r="J28" s="72" t="str">
        <f t="shared" ref="J28" si="21">IF(I28="", "N/A", IF(I28="-", "FAIL", IF(I28&lt;=12, "PASS", "FAIL")))</f>
        <v>N/A</v>
      </c>
      <c r="K28" s="115"/>
      <c r="L28" s="72" t="str">
        <f t="shared" ref="L28" si="22">IF(K28="", "N/A", IF(K28="-", "FAIL", IF(K28&lt;=12, "PASS", "FAIL")))</f>
        <v>N/A</v>
      </c>
      <c r="M28" s="179"/>
      <c r="N28" s="41" t="str">
        <f t="shared" si="3"/>
        <v/>
      </c>
      <c r="O28" s="57"/>
    </row>
    <row r="29" spans="1:15" s="30" customFormat="1" ht="15" customHeight="1" x14ac:dyDescent="0.2">
      <c r="A29" s="164"/>
      <c r="B29" s="170"/>
      <c r="C29" s="170"/>
      <c r="D29" s="196"/>
      <c r="E29" s="107" t="s">
        <v>27</v>
      </c>
      <c r="F29" s="99" t="s">
        <v>113</v>
      </c>
      <c r="G29" s="128"/>
      <c r="H29" s="72" t="str">
        <f t="shared" si="4"/>
        <v>N/A</v>
      </c>
      <c r="I29" s="113"/>
      <c r="J29" s="72" t="str">
        <f t="shared" ref="J29" si="23">IF(I29="", "N/A", IF(I29="-", "FAIL", IF(I29&lt;=12, "PASS", "FAIL")))</f>
        <v>N/A</v>
      </c>
      <c r="K29" s="113"/>
      <c r="L29" s="72" t="str">
        <f t="shared" ref="L29" si="24">IF(K29="", "N/A", IF(K29="-", "FAIL", IF(K29&lt;=12, "PASS", "FAIL")))</f>
        <v>N/A</v>
      </c>
      <c r="M29" s="179"/>
      <c r="N29" s="35" t="str">
        <f t="shared" si="3"/>
        <v/>
      </c>
      <c r="O29" s="57"/>
    </row>
    <row r="30" spans="1:15" s="30" customFormat="1" ht="15" customHeight="1" thickBot="1" x14ac:dyDescent="0.25">
      <c r="A30" s="164"/>
      <c r="B30" s="170"/>
      <c r="C30" s="170"/>
      <c r="D30" s="195"/>
      <c r="E30" s="108" t="s">
        <v>28</v>
      </c>
      <c r="F30" s="100" t="s">
        <v>106</v>
      </c>
      <c r="G30" s="126"/>
      <c r="H30" s="74" t="str">
        <f t="shared" si="4"/>
        <v>N/A</v>
      </c>
      <c r="I30" s="39"/>
      <c r="J30" s="74" t="str">
        <f t="shared" ref="J30" si="25">IF(I30="", "N/A", IF(I30="-", "FAIL", IF(I30&lt;=12, "PASS", "FAIL")))</f>
        <v>N/A</v>
      </c>
      <c r="K30" s="39"/>
      <c r="L30" s="74" t="str">
        <f t="shared" ref="L30" si="26">IF(K30="", "N/A", IF(K30="-", "FAIL", IF(K30&lt;=12, "PASS", "FAIL")))</f>
        <v>N/A</v>
      </c>
      <c r="M30" s="180"/>
      <c r="N30" s="40" t="str">
        <f t="shared" si="3"/>
        <v/>
      </c>
      <c r="O30" s="56"/>
    </row>
    <row r="31" spans="1:15" s="30" customFormat="1" ht="15" customHeight="1" thickBot="1" x14ac:dyDescent="0.25">
      <c r="A31" s="176"/>
      <c r="B31" s="45" t="s">
        <v>66</v>
      </c>
      <c r="C31" s="170"/>
      <c r="D31" s="84" t="str" cm="1">
        <f t="array" ref="D31">IFERROR(AVERAGE(IF(($N$2:$TJ$2="Sensitivity") * ISNUMBER(N31:TJ31), N31:TJ31)), "N/A")</f>
        <v>N/A</v>
      </c>
      <c r="E31" s="111" t="s">
        <v>29</v>
      </c>
      <c r="F31" s="103" t="s">
        <v>117</v>
      </c>
      <c r="G31" s="129"/>
      <c r="H31" s="75" t="str">
        <f t="shared" si="4"/>
        <v>N/A</v>
      </c>
      <c r="I31" s="46"/>
      <c r="J31" s="75" t="str">
        <f t="shared" ref="J31" si="27">IF(I31="", "N/A", IF(I31="-", "FAIL", IF(I31&lt;=12, "PASS", "FAIL")))</f>
        <v>N/A</v>
      </c>
      <c r="K31" s="46"/>
      <c r="L31" s="75" t="str">
        <f t="shared" ref="L31" si="28">IF(K31="", "N/A", IF(K31="-", "FAIL", IF(K31&lt;=12, "PASS", "FAIL")))</f>
        <v>N/A</v>
      </c>
      <c r="M31" s="51" t="str" cm="1">
        <f t="array" ref="M31">IF(COUNTIFS(H31:L31,"PASS")+COUNTIFS(H31:L31,"FAIL")=0,"N/A",IF(MIN(_xlfn.BYROW(H31:L31,_xlfn.LAMBDA(_xlpm.row,IF(COUNTIFS(_xlpm.row,"PASS")+COUNTIFS(_xlpm.row,"FAIL")&gt;0,COUNTIF(_xlpm.row,"PASS"),1))))&gt;0,"PASS","FAIL"))</f>
        <v>N/A</v>
      </c>
      <c r="N31" s="48" t="str">
        <f t="shared" si="3"/>
        <v/>
      </c>
      <c r="O31" s="79"/>
    </row>
    <row r="32" spans="1:15" s="30" customFormat="1" ht="15" customHeight="1" x14ac:dyDescent="0.2">
      <c r="A32" s="163" t="s">
        <v>58</v>
      </c>
      <c r="B32" s="166" t="s">
        <v>59</v>
      </c>
      <c r="C32" s="172" t="s">
        <v>54</v>
      </c>
      <c r="D32" s="197" t="str" cm="1">
        <f t="array" ref="D32">IFERROR(AVERAGE(IF(($N$2:$TJ$2="Sensitivity") * ISNUMBER(N32:TJ41), N32:TJ41)), "N/A")</f>
        <v>N/A</v>
      </c>
      <c r="E32" s="106" t="s">
        <v>30</v>
      </c>
      <c r="F32" s="98" t="s">
        <v>118</v>
      </c>
      <c r="G32" s="122"/>
      <c r="H32" s="69" t="str">
        <f t="shared" si="4"/>
        <v>N/A</v>
      </c>
      <c r="I32" s="127"/>
      <c r="J32" s="69" t="str">
        <f t="shared" ref="J32" si="29">IF(I32="", "N/A", IF(I32="-", "FAIL", IF(I32&lt;=12, "PASS", "FAIL")))</f>
        <v>N/A</v>
      </c>
      <c r="K32" s="33"/>
      <c r="L32" s="69" t="str">
        <f t="shared" ref="L32" si="30">IF(K32="", "N/A", IF(K32="-", "FAIL", IF(K32&lt;=12, "PASS", "FAIL")))</f>
        <v>N/A</v>
      </c>
      <c r="M32" s="178" t="str" cm="1">
        <f t="array" ref="M32">IF(COUNTIFS(H32:L41,"PASS")+COUNTIFS(H32:L41,"FAIL")=0,"N/A",IF(MIN(_xlfn.BYROW(H32:L41,_xlfn.LAMBDA(_xlpm.row,IF(COUNTIFS(_xlpm.row,"PASS")+COUNTIFS(_xlpm.row,"FAIL")&gt;0,COUNTIF(_xlpm.row,"PASS"),1))))&gt;0,"PASS","FAIL"))</f>
        <v>N/A</v>
      </c>
      <c r="N32" s="49" t="str">
        <f t="shared" si="3"/>
        <v/>
      </c>
      <c r="O32" s="135"/>
    </row>
    <row r="33" spans="1:15" s="30" customFormat="1" ht="15" customHeight="1" x14ac:dyDescent="0.25">
      <c r="A33" s="164"/>
      <c r="B33" s="167"/>
      <c r="C33" s="170"/>
      <c r="D33" s="198"/>
      <c r="E33" s="109" t="s">
        <v>31</v>
      </c>
      <c r="F33" s="99" t="s">
        <v>119</v>
      </c>
      <c r="G33" s="124"/>
      <c r="H33" s="72" t="str">
        <f t="shared" si="4"/>
        <v>N/A</v>
      </c>
      <c r="I33" s="115"/>
      <c r="J33" s="72" t="str">
        <f t="shared" ref="J33" si="31">IF(I33="", "N/A", IF(I33="-", "FAIL", IF(I33&lt;=12, "PASS", "FAIL")))</f>
        <v>N/A</v>
      </c>
      <c r="K33" s="115"/>
      <c r="L33" s="72" t="str">
        <f t="shared" ref="L33" si="32">IF(K33="", "N/A", IF(K33="-", "FAIL", IF(K33&lt;=12, "PASS", "FAIL")))</f>
        <v>N/A</v>
      </c>
      <c r="M33" s="179"/>
      <c r="N33" s="35" t="str">
        <f t="shared" si="3"/>
        <v/>
      </c>
      <c r="O33" s="57"/>
    </row>
    <row r="34" spans="1:15" s="30" customFormat="1" ht="15" customHeight="1" x14ac:dyDescent="0.25">
      <c r="A34" s="164"/>
      <c r="B34" s="167"/>
      <c r="C34" s="170"/>
      <c r="D34" s="198"/>
      <c r="E34" s="107" t="s">
        <v>32</v>
      </c>
      <c r="F34" s="99" t="s">
        <v>120</v>
      </c>
      <c r="G34" s="123"/>
      <c r="H34" s="70" t="str">
        <f t="shared" si="4"/>
        <v>N/A</v>
      </c>
      <c r="I34" s="113"/>
      <c r="J34" s="70" t="str">
        <f t="shared" ref="J34" si="33">IF(I34="", "N/A", IF(I34="-", "FAIL", IF(I34&lt;=12, "PASS", "FAIL")))</f>
        <v>N/A</v>
      </c>
      <c r="K34" s="113"/>
      <c r="L34" s="70" t="str">
        <f t="shared" ref="L34" si="34">IF(K34="", "N/A", IF(K34="-", "FAIL", IF(K34&lt;=12, "PASS", "FAIL")))</f>
        <v>N/A</v>
      </c>
      <c r="M34" s="179"/>
      <c r="N34" s="36" t="str">
        <f t="shared" si="3"/>
        <v/>
      </c>
      <c r="O34" s="57"/>
    </row>
    <row r="35" spans="1:15" s="30" customFormat="1" ht="15" customHeight="1" x14ac:dyDescent="0.25">
      <c r="A35" s="164"/>
      <c r="B35" s="167"/>
      <c r="C35" s="170"/>
      <c r="D35" s="198"/>
      <c r="E35" s="107" t="s">
        <v>33</v>
      </c>
      <c r="F35" s="99" t="s">
        <v>121</v>
      </c>
      <c r="G35" s="123"/>
      <c r="H35" s="70" t="str">
        <f t="shared" si="4"/>
        <v>N/A</v>
      </c>
      <c r="I35" s="113"/>
      <c r="J35" s="70" t="str">
        <f t="shared" ref="J35" si="35">IF(I35="", "N/A", IF(I35="-", "FAIL", IF(I35&lt;=12, "PASS", "FAIL")))</f>
        <v>N/A</v>
      </c>
      <c r="K35" s="113"/>
      <c r="L35" s="70" t="str">
        <f t="shared" ref="L35" si="36">IF(K35="", "N/A", IF(K35="-", "FAIL", IF(K35&lt;=12, "PASS", "FAIL")))</f>
        <v>N/A</v>
      </c>
      <c r="M35" s="179"/>
      <c r="N35" s="36" t="str">
        <f t="shared" si="3"/>
        <v/>
      </c>
      <c r="O35" s="57"/>
    </row>
    <row r="36" spans="1:15" s="30" customFormat="1" ht="15" customHeight="1" thickBot="1" x14ac:dyDescent="0.25">
      <c r="A36" s="164"/>
      <c r="B36" s="167"/>
      <c r="C36" s="173"/>
      <c r="D36" s="198"/>
      <c r="E36" s="108" t="s">
        <v>34</v>
      </c>
      <c r="F36" s="100" t="s">
        <v>122</v>
      </c>
      <c r="G36" s="126"/>
      <c r="H36" s="71" t="str">
        <f t="shared" si="4"/>
        <v>N/A</v>
      </c>
      <c r="I36" s="39"/>
      <c r="J36" s="71" t="str">
        <f t="shared" ref="J36" si="37">IF(I36="", "N/A", IF(I36="-", "FAIL", IF(I36&lt;=12, "PASS", "FAIL")))</f>
        <v>N/A</v>
      </c>
      <c r="K36" s="39"/>
      <c r="L36" s="71" t="str">
        <f t="shared" ref="L36" si="38">IF(K36="", "N/A", IF(K36="-", "FAIL", IF(K36&lt;=12, "PASS", "FAIL")))</f>
        <v>N/A</v>
      </c>
      <c r="M36" s="179"/>
      <c r="N36" s="40" t="str">
        <f t="shared" si="3"/>
        <v/>
      </c>
      <c r="O36" s="136"/>
    </row>
    <row r="37" spans="1:15" s="30" customFormat="1" ht="15" customHeight="1" x14ac:dyDescent="0.2">
      <c r="A37" s="164"/>
      <c r="B37" s="167"/>
      <c r="C37" s="170" t="s">
        <v>55</v>
      </c>
      <c r="D37" s="198"/>
      <c r="E37" s="110" t="s">
        <v>35</v>
      </c>
      <c r="F37" s="98" t="s">
        <v>118</v>
      </c>
      <c r="G37" s="122"/>
      <c r="H37" s="130" t="str">
        <f t="shared" si="4"/>
        <v>N/A</v>
      </c>
      <c r="I37" s="131"/>
      <c r="J37" s="130" t="str">
        <f t="shared" ref="J37" si="39">IF(I37="", "N/A", IF(I37="-", "FAIL", IF(I37&lt;=12, "PASS", "FAIL")))</f>
        <v>N/A</v>
      </c>
      <c r="K37" s="132"/>
      <c r="L37" s="130" t="str">
        <f t="shared" ref="L37" si="40">IF(K37="", "N/A", IF(K37="-", "FAIL", IF(K37&lt;=12, "PASS", "FAIL")))</f>
        <v>N/A</v>
      </c>
      <c r="M37" s="179"/>
      <c r="N37" s="133" t="str">
        <f t="shared" si="3"/>
        <v/>
      </c>
      <c r="O37" s="77"/>
    </row>
    <row r="38" spans="1:15" s="30" customFormat="1" ht="15" customHeight="1" x14ac:dyDescent="0.25">
      <c r="A38" s="164"/>
      <c r="B38" s="167"/>
      <c r="C38" s="170"/>
      <c r="D38" s="198"/>
      <c r="E38" s="107" t="s">
        <v>38</v>
      </c>
      <c r="F38" s="104" t="s">
        <v>119</v>
      </c>
      <c r="G38" s="124"/>
      <c r="H38" s="70" t="str">
        <f t="shared" si="4"/>
        <v>N/A</v>
      </c>
      <c r="I38" s="113"/>
      <c r="J38" s="70" t="str">
        <f t="shared" ref="J38" si="41">IF(I38="", "N/A", IF(I38="-", "FAIL", IF(I38&lt;=12, "PASS", "FAIL")))</f>
        <v>N/A</v>
      </c>
      <c r="K38" s="113"/>
      <c r="L38" s="70" t="str">
        <f t="shared" ref="L38" si="42">IF(K38="", "N/A", IF(K38="-", "FAIL", IF(K38&lt;=12, "PASS", "FAIL")))</f>
        <v>N/A</v>
      </c>
      <c r="M38" s="179"/>
      <c r="N38" s="35" t="str">
        <f t="shared" si="3"/>
        <v/>
      </c>
      <c r="O38" s="57"/>
    </row>
    <row r="39" spans="1:15" s="30" customFormat="1" ht="15" customHeight="1" x14ac:dyDescent="0.25">
      <c r="A39" s="164"/>
      <c r="B39" s="167"/>
      <c r="C39" s="170"/>
      <c r="D39" s="198"/>
      <c r="E39" s="107" t="s">
        <v>39</v>
      </c>
      <c r="F39" s="99" t="s">
        <v>120</v>
      </c>
      <c r="G39" s="123"/>
      <c r="H39" s="70" t="str">
        <f t="shared" si="4"/>
        <v>N/A</v>
      </c>
      <c r="I39" s="113"/>
      <c r="J39" s="70" t="str">
        <f t="shared" ref="J39" si="43">IF(I39="", "N/A", IF(I39="-", "FAIL", IF(I39&lt;=12, "PASS", "FAIL")))</f>
        <v>N/A</v>
      </c>
      <c r="K39" s="113"/>
      <c r="L39" s="70" t="str">
        <f t="shared" ref="L39" si="44">IF(K39="", "N/A", IF(K39="-", "FAIL", IF(K39&lt;=12, "PASS", "FAIL")))</f>
        <v>N/A</v>
      </c>
      <c r="M39" s="179"/>
      <c r="N39" s="36" t="str">
        <f t="shared" si="3"/>
        <v/>
      </c>
      <c r="O39" s="57"/>
    </row>
    <row r="40" spans="1:15" s="30" customFormat="1" ht="15" customHeight="1" x14ac:dyDescent="0.25">
      <c r="A40" s="164"/>
      <c r="B40" s="167"/>
      <c r="C40" s="170"/>
      <c r="D40" s="198"/>
      <c r="E40" s="107" t="s">
        <v>40</v>
      </c>
      <c r="F40" s="105" t="s">
        <v>123</v>
      </c>
      <c r="G40" s="123"/>
      <c r="H40" s="70" t="str">
        <f t="shared" si="4"/>
        <v>N/A</v>
      </c>
      <c r="I40" s="113"/>
      <c r="J40" s="70" t="str">
        <f t="shared" ref="J40" si="45">IF(I40="", "N/A", IF(I40="-", "FAIL", IF(I40&lt;=12, "PASS", "FAIL")))</f>
        <v>N/A</v>
      </c>
      <c r="K40" s="113"/>
      <c r="L40" s="70" t="str">
        <f t="shared" ref="L40" si="46">IF(K40="", "N/A", IF(K40="-", "FAIL", IF(K40&lt;=12, "PASS", "FAIL")))</f>
        <v>N/A</v>
      </c>
      <c r="M40" s="179"/>
      <c r="N40" s="36" t="str">
        <f t="shared" si="3"/>
        <v/>
      </c>
      <c r="O40" s="57"/>
    </row>
    <row r="41" spans="1:15" s="30" customFormat="1" ht="15" customHeight="1" thickBot="1" x14ac:dyDescent="0.3">
      <c r="A41" s="164"/>
      <c r="B41" s="168"/>
      <c r="C41" s="170"/>
      <c r="D41" s="199"/>
      <c r="E41" s="108" t="s">
        <v>41</v>
      </c>
      <c r="F41" s="100" t="s">
        <v>122</v>
      </c>
      <c r="G41" s="121"/>
      <c r="H41" s="71" t="str">
        <f t="shared" si="4"/>
        <v>N/A</v>
      </c>
      <c r="I41" s="39"/>
      <c r="J41" s="71" t="str">
        <f t="shared" ref="J41" si="47">IF(I41="", "N/A", IF(I41="-", "FAIL", IF(I41&lt;=12, "PASS", "FAIL")))</f>
        <v>N/A</v>
      </c>
      <c r="K41" s="39"/>
      <c r="L41" s="71" t="str">
        <f t="shared" ref="L41" si="48">IF(K41="", "N/A", IF(K41="-", "FAIL", IF(K41&lt;=12, "PASS", "FAIL")))</f>
        <v>N/A</v>
      </c>
      <c r="M41" s="179"/>
      <c r="N41" s="40" t="str">
        <f t="shared" si="3"/>
        <v/>
      </c>
      <c r="O41" s="56"/>
    </row>
    <row r="42" spans="1:15" s="30" customFormat="1" ht="15" customHeight="1" x14ac:dyDescent="0.25">
      <c r="A42" s="164"/>
      <c r="B42" s="169" t="s">
        <v>68</v>
      </c>
      <c r="C42" s="170"/>
      <c r="D42" s="194" t="str" cm="1">
        <f t="array" ref="D42">IFERROR(AVERAGE(IF(($N$2:$TJ$2="Sensitivity") * ISNUMBER(N42:TJ45), N42:TJ45)), "N/A")</f>
        <v>N/A</v>
      </c>
      <c r="E42" s="106" t="s">
        <v>36</v>
      </c>
      <c r="F42" s="102" t="s">
        <v>121</v>
      </c>
      <c r="G42" s="124"/>
      <c r="H42" s="72" t="str">
        <f t="shared" si="4"/>
        <v>N/A</v>
      </c>
      <c r="I42" s="115"/>
      <c r="J42" s="72" t="str">
        <f t="shared" ref="J42" si="49">IF(I42="", "N/A", IF(I42="-", "FAIL", IF(I42&lt;=12, "PASS", "FAIL")))</f>
        <v>N/A</v>
      </c>
      <c r="K42" s="115"/>
      <c r="L42" s="72" t="str">
        <f t="shared" ref="L42" si="50">IF(K42="", "N/A", IF(K42="-", "FAIL", IF(K42&lt;=12, "PASS", "FAIL")))</f>
        <v>N/A</v>
      </c>
      <c r="M42" s="178" t="str" cm="1">
        <f t="array" ref="M42">IF(COUNTIFS(H42:L45,"PASS")+COUNTIFS(H42:L45,"FAIL")=0,"N/A",IF(MIN(_xlfn.BYROW(H42:L45,_xlfn.LAMBDA(_xlpm.row,IF(COUNTIFS(_xlpm.row,"PASS")+COUNTIFS(_xlpm.row,"FAIL")&gt;0,COUNTIF(_xlpm.row,"PASS"),1))))&gt;0,"PASS","FAIL"))</f>
        <v>N/A</v>
      </c>
      <c r="N42" s="42" t="str">
        <f>IF(
  (COUNTIFS(H42,"PASS")+COUNTIFS(H42,"FAIL")+COUNTIFS(J42,"PASS")+COUNTIFS(J42,"FAIL")+COUNTIFS(L42,"PASS")+COUNTIFS(L42,"FAIL"))=0,
  "",
  (
    --(UPPER(TRIM(H42))="PASS")
    +--(UPPER(TRIM(J42))="PASS")
    +--(UPPER(TRIM(L42))="PASS")
  )
  /
  (
    (UPPER(TRIM(H42))="PASS")+(UPPER(TRIM(H42))="FAIL")
    +(UPPER(TRIM(J42))="PASS")+(UPPER(TRIM(J42))="FAIL")
    +(UPPER(TRIM(L42))="PASS")+(UPPER(TRIM(L42))="FAIL")
  )
)</f>
        <v/>
      </c>
      <c r="O42" s="134"/>
    </row>
    <row r="43" spans="1:15" s="30" customFormat="1" ht="15" customHeight="1" x14ac:dyDescent="0.25">
      <c r="A43" s="164"/>
      <c r="B43" s="170"/>
      <c r="C43" s="170"/>
      <c r="D43" s="196"/>
      <c r="E43" s="107" t="s">
        <v>37</v>
      </c>
      <c r="F43" s="105" t="s">
        <v>124</v>
      </c>
      <c r="G43" s="123"/>
      <c r="H43" s="70" t="str">
        <f t="shared" si="4"/>
        <v>N/A</v>
      </c>
      <c r="I43" s="113"/>
      <c r="J43" s="70" t="str">
        <f t="shared" ref="J43" si="51">IF(I43="", "N/A", IF(I43="-", "FAIL", IF(I43&lt;=12, "PASS", "FAIL")))</f>
        <v>N/A</v>
      </c>
      <c r="K43" s="113"/>
      <c r="L43" s="70" t="str">
        <f t="shared" ref="L43" si="52">IF(K43="", "N/A", IF(K43="-", "FAIL", IF(K43&lt;=12, "PASS", "FAIL")))</f>
        <v>N/A</v>
      </c>
      <c r="M43" s="179"/>
      <c r="N43" s="36" t="str">
        <f t="shared" ref="N43:N45" si="53">IF(
  (COUNTIFS(H43,"PASS")+COUNTIFS(H43,"FAIL")+COUNTIFS(J43,"PASS")+COUNTIFS(J43,"FAIL")+COUNTIFS(L43,"PASS")+COUNTIFS(L43,"FAIL"))=0,
  "",
  (
    --(UPPER(TRIM(H43))="PASS")
    +--(UPPER(TRIM(J43))="PASS")
    +--(UPPER(TRIM(L43))="PASS")
  )
  /
  (
    (UPPER(TRIM(H43))="PASS")+(UPPER(TRIM(H43))="FAIL")
    +(UPPER(TRIM(J43))="PASS")+(UPPER(TRIM(J43))="FAIL")
    +(UPPER(TRIM(L43))="PASS")+(UPPER(TRIM(L43))="FAIL")
  )
)</f>
        <v/>
      </c>
      <c r="O43" s="57"/>
    </row>
    <row r="44" spans="1:15" s="30" customFormat="1" ht="15" customHeight="1" x14ac:dyDescent="0.25">
      <c r="A44" s="164"/>
      <c r="B44" s="170"/>
      <c r="C44" s="170"/>
      <c r="D44" s="196"/>
      <c r="E44" s="107" t="s">
        <v>42</v>
      </c>
      <c r="F44" s="105" t="s">
        <v>125</v>
      </c>
      <c r="G44" s="123"/>
      <c r="H44" s="70" t="str">
        <f t="shared" si="4"/>
        <v>N/A</v>
      </c>
      <c r="I44" s="113"/>
      <c r="J44" s="70" t="str">
        <f t="shared" ref="J44" si="54">IF(I44="", "N/A", IF(I44="-", "FAIL", IF(I44&lt;=12, "PASS", "FAIL")))</f>
        <v>N/A</v>
      </c>
      <c r="K44" s="113"/>
      <c r="L44" s="70" t="str">
        <f t="shared" ref="L44" si="55">IF(K44="", "N/A", IF(K44="-", "FAIL", IF(K44&lt;=12, "PASS", "FAIL")))</f>
        <v>N/A</v>
      </c>
      <c r="M44" s="179"/>
      <c r="N44" s="44" t="str">
        <f t="shared" si="53"/>
        <v/>
      </c>
      <c r="O44" s="136"/>
    </row>
    <row r="45" spans="1:15" ht="15" customHeight="1" thickBot="1" x14ac:dyDescent="0.25">
      <c r="A45" s="165"/>
      <c r="B45" s="171"/>
      <c r="C45" s="171"/>
      <c r="D45" s="200"/>
      <c r="E45" s="137" t="s">
        <v>43</v>
      </c>
      <c r="F45" s="138" t="s">
        <v>126</v>
      </c>
      <c r="G45" s="139"/>
      <c r="H45" s="140" t="str">
        <f t="shared" si="4"/>
        <v>N/A</v>
      </c>
      <c r="I45" s="141"/>
      <c r="J45" s="140" t="str">
        <f t="shared" ref="J45" si="56">IF(I45="", "N/A", IF(I45="-", "FAIL", IF(I45&lt;=12, "PASS", "FAIL")))</f>
        <v>N/A</v>
      </c>
      <c r="K45" s="141"/>
      <c r="L45" s="140" t="str">
        <f t="shared" ref="L45" si="57">IF(K45="", "N/A", IF(K45="-", "FAIL", IF(K45&lt;=12, "PASS", "FAIL")))</f>
        <v>N/A</v>
      </c>
      <c r="M45" s="181"/>
      <c r="N45" s="142" t="str">
        <f t="shared" si="53"/>
        <v/>
      </c>
      <c r="O45" s="143"/>
    </row>
    <row r="46" spans="1:15" s="54" customFormat="1" ht="15" customHeight="1" thickTop="1" x14ac:dyDescent="0.2">
      <c r="O46" s="55"/>
    </row>
    <row r="47" spans="1:15" s="59" customFormat="1" ht="15" customHeight="1" thickBot="1" x14ac:dyDescent="0.25"/>
  </sheetData>
  <mergeCells count="53">
    <mergeCell ref="C32:C36"/>
    <mergeCell ref="C37:C45"/>
    <mergeCell ref="D13:D15"/>
    <mergeCell ref="D16:D18"/>
    <mergeCell ref="D19:D20"/>
    <mergeCell ref="D4:D8"/>
    <mergeCell ref="D9:D10"/>
    <mergeCell ref="D11:D12"/>
    <mergeCell ref="D21:D22"/>
    <mergeCell ref="D23:D26"/>
    <mergeCell ref="D27:D30"/>
    <mergeCell ref="D32:D41"/>
    <mergeCell ref="D42:D45"/>
    <mergeCell ref="D1:D3"/>
    <mergeCell ref="K2:L2"/>
    <mergeCell ref="G1:O1"/>
    <mergeCell ref="O2:O3"/>
    <mergeCell ref="M2:M3"/>
    <mergeCell ref="G2:H2"/>
    <mergeCell ref="I2:J2"/>
    <mergeCell ref="E1:F3"/>
    <mergeCell ref="M42:M45"/>
    <mergeCell ref="M32:M41"/>
    <mergeCell ref="M9:M10"/>
    <mergeCell ref="M11:M12"/>
    <mergeCell ref="M13:M15"/>
    <mergeCell ref="M16:M18"/>
    <mergeCell ref="M4:M8"/>
    <mergeCell ref="M19:M20"/>
    <mergeCell ref="M21:M22"/>
    <mergeCell ref="M23:M26"/>
    <mergeCell ref="M27:M30"/>
    <mergeCell ref="C27:C31"/>
    <mergeCell ref="B19:B22"/>
    <mergeCell ref="B23:B30"/>
    <mergeCell ref="A19:A31"/>
    <mergeCell ref="C11:C12"/>
    <mergeCell ref="C16:C18"/>
    <mergeCell ref="C13:C15"/>
    <mergeCell ref="A1:A3"/>
    <mergeCell ref="C1:C3"/>
    <mergeCell ref="B1:B3"/>
    <mergeCell ref="A32:A45"/>
    <mergeCell ref="B32:B41"/>
    <mergeCell ref="B42:B45"/>
    <mergeCell ref="C19:C20"/>
    <mergeCell ref="C21:C22"/>
    <mergeCell ref="A4:A18"/>
    <mergeCell ref="B13:B18"/>
    <mergeCell ref="B4:B12"/>
    <mergeCell ref="C4:C8"/>
    <mergeCell ref="C9:C10"/>
    <mergeCell ref="C23:C26"/>
  </mergeCells>
  <phoneticPr fontId="2" type="noConversion"/>
  <conditionalFormatting sqref="A2:C3 A46:O46 A47:XFD1048576 A1:D1">
    <cfRule type="containsText" dxfId="64" priority="1922" operator="containsText" text="PASS">
      <formula>NOT(ISERROR(SEARCH("PASS",A1)))</formula>
    </cfRule>
  </conditionalFormatting>
  <conditionalFormatting sqref="A4:C19">
    <cfRule type="containsText" dxfId="63" priority="31" operator="containsText" text="FAIL">
      <formula>NOT(ISERROR(SEARCH("FAIL",A4)))</formula>
    </cfRule>
    <cfRule type="containsText" dxfId="62" priority="32" operator="containsText" text="PASS">
      <formula>NOT(ISERROR(SEARCH("PASS",A4)))</formula>
    </cfRule>
  </conditionalFormatting>
  <conditionalFormatting sqref="A1:E1">
    <cfRule type="containsText" dxfId="61" priority="48" operator="containsText" text="FAIL">
      <formula>NOT(ISERROR(SEARCH("FAIL",A1)))</formula>
    </cfRule>
  </conditionalFormatting>
  <conditionalFormatting sqref="A46:O46 A47:XFD1048576 A2:C3">
    <cfRule type="containsText" dxfId="60" priority="1830" operator="containsText" text="FAIL">
      <formula>NOT(ISERROR(SEARCH("FAIL",A2)))</formula>
    </cfRule>
  </conditionalFormatting>
  <conditionalFormatting sqref="C21 B23:C23 C27 A32:C32 B31 C37 B42">
    <cfRule type="containsText" dxfId="59" priority="33" operator="containsText" text="PASS">
      <formula>NOT(ISERROR(SEARCH("PASS",A21)))</formula>
    </cfRule>
  </conditionalFormatting>
  <conditionalFormatting sqref="C21 B23:C23 C27 B31 A32:C32 C37 B42">
    <cfRule type="containsText" dxfId="58" priority="34" operator="containsText" text="FAIL">
      <formula>NOT(ISERROR(SEARCH("FAIL",A21)))</formula>
    </cfRule>
  </conditionalFormatting>
  <conditionalFormatting sqref="A1:D3 A4:C32 A33:B45 C37">
    <cfRule type="beginsWith" dxfId="57" priority="29" operator="beginsWith" text="N/A">
      <formula>LEFT(A1,LEN("N/A"))="N/A"</formula>
    </cfRule>
  </conditionalFormatting>
  <conditionalFormatting sqref="E1">
    <cfRule type="beginsWith" dxfId="56" priority="46" operator="beginsWith" text="N/A">
      <formula>LEFT(E1,LEN("N/A"))="N/A"</formula>
    </cfRule>
    <cfRule type="containsText" dxfId="55" priority="47" operator="containsText" text="PASS">
      <formula>NOT(ISERROR(SEARCH("PASS",E1)))</formula>
    </cfRule>
  </conditionalFormatting>
  <conditionalFormatting sqref="E4:L45 M4:O23 N24:O26 M27:O27 N28:O30 M31:O32 N33:O45">
    <cfRule type="containsText" dxfId="54" priority="24" operator="containsText" text="FAIL">
      <formula>NOT(ISERROR(SEARCH("FAIL",E4)))</formula>
    </cfRule>
  </conditionalFormatting>
  <conditionalFormatting sqref="E4:L45 M31:O32 M4:O23 N24:O26 M27:O27 N28:O30">
    <cfRule type="endsWith" dxfId="53" priority="22" operator="endsWith" text="PASS">
      <formula>RIGHT(E4,LEN("PASS"))="PASS"</formula>
    </cfRule>
  </conditionalFormatting>
  <conditionalFormatting sqref="G37">
    <cfRule type="containsText" dxfId="52" priority="20" operator="containsText" text="PASS">
      <formula>NOT(ISERROR(SEARCH("PASS",G37)))</formula>
    </cfRule>
  </conditionalFormatting>
  <conditionalFormatting sqref="G1:O3 P1:XFD46">
    <cfRule type="containsText" dxfId="51" priority="1953" operator="containsText" text="FAIL">
      <formula>NOT(ISERROR(SEARCH("FAIL",G1)))</formula>
    </cfRule>
  </conditionalFormatting>
  <conditionalFormatting sqref="G1:XFD3 A46:XFD1048576">
    <cfRule type="beginsWith" dxfId="50" priority="52" operator="beginsWith" text="N/A">
      <formula>LEFT(A1,LEN("N/A"))="N/A"</formula>
    </cfRule>
  </conditionalFormatting>
  <conditionalFormatting sqref="H46:H1048576 P1:XFD46 G1:O3">
    <cfRule type="containsText" dxfId="49" priority="1944" operator="containsText" text="PASS">
      <formula>NOT(ISERROR(SEARCH("PASS",G1)))</formula>
    </cfRule>
  </conditionalFormatting>
  <conditionalFormatting sqref="I38:I40">
    <cfRule type="colorScale" priority="25">
      <colorScale>
        <cfvo type="formula" val="#REF!=&quot;DELAY&quot;"/>
        <cfvo type="formula" val="#REF!=&quot;FALSE&quot;"/>
        <cfvo type="formula" val="#REF!=&quot;TRUE&quot;"/>
        <color theme="5" tint="0.39997558519241921"/>
        <color theme="5" tint="-0.249977111117893"/>
        <color theme="0"/>
      </colorScale>
    </cfRule>
  </conditionalFormatting>
  <conditionalFormatting sqref="J4:O31">
    <cfRule type="beginsWith" dxfId="48" priority="11" operator="beginsWith" text="N/A">
      <formula>LEFT(J4,LEN("N/A"))="N/A"</formula>
    </cfRule>
  </conditionalFormatting>
  <conditionalFormatting sqref="J32:O45 E4:I45">
    <cfRule type="beginsWith" dxfId="47" priority="14" operator="beginsWith" text="N/A">
      <formula>LEFT(E4,LEN("N/A"))="N/A"</formula>
    </cfRule>
  </conditionalFormatting>
  <conditionalFormatting sqref="K22:K40">
    <cfRule type="colorScale" priority="23">
      <colorScale>
        <cfvo type="formula" val="#REF!=&quot;DELAY&quot;"/>
        <cfvo type="formula" val="#REF!=&quot;FALSE&quot;"/>
        <cfvo type="formula" val="#REF!=&quot;TRUE&quot;"/>
        <color theme="5" tint="0.39997558519241921"/>
        <color theme="5" tint="-0.249977111117893"/>
        <color theme="0"/>
      </colorScale>
    </cfRule>
  </conditionalFormatting>
  <conditionalFormatting sqref="M42">
    <cfRule type="containsText" dxfId="46" priority="12" operator="containsText" text="PASS">
      <formula>NOT(ISERROR(SEARCH("PASS",M42)))</formula>
    </cfRule>
    <cfRule type="containsText" dxfId="45" priority="13" operator="containsText" text="FAIL">
      <formula>NOT(ISERROR(SEARCH("FAIL",M42)))</formula>
    </cfRule>
    <cfRule type="containsText" dxfId="44" priority="16" operator="containsText" text="PASS">
      <formula>NOT(ISERROR(SEARCH("PASS",M42)))</formula>
    </cfRule>
    <cfRule type="containsText" dxfId="43" priority="17" operator="containsText" text="FAIL">
      <formula>NOT(ISERROR(SEARCH("FAIL",M42)))</formula>
    </cfRule>
    <cfRule type="containsText" dxfId="42" priority="18" operator="containsText" text="PASS">
      <formula>NOT(ISERROR(SEARCH("PASS",M42)))</formula>
    </cfRule>
    <cfRule type="containsText" dxfId="41" priority="19" operator="containsText" text="FAIL">
      <formula>NOT(ISERROR(SEARCH("FAIL",M42)))</formula>
    </cfRule>
  </conditionalFormatting>
  <conditionalFormatting sqref="N3">
    <cfRule type="dataBar" priority="524">
      <dataBar>
        <cfvo type="num" val="0"/>
        <cfvo type="num" val="1"/>
        <color rgb="FFFC6500"/>
      </dataBar>
      <extLst>
        <ext xmlns:x14="http://schemas.microsoft.com/office/spreadsheetml/2009/9/main" uri="{B025F937-C7B1-47D3-B67F-A62EFF666E3E}">
          <x14:id>{7A2FAFB6-A7A5-4239-8617-A34DAA64C1AD}</x14:id>
        </ext>
      </extLst>
    </cfRule>
  </conditionalFormatting>
  <conditionalFormatting sqref="N4:N45">
    <cfRule type="dataBar" priority="15">
      <dataBar>
        <cfvo type="num" val="0"/>
        <cfvo type="num" val="1"/>
        <color theme="0" tint="-0.14999847407452621"/>
      </dataBar>
      <extLst>
        <ext xmlns:x14="http://schemas.microsoft.com/office/spreadsheetml/2009/9/main" uri="{B025F937-C7B1-47D3-B67F-A62EFF666E3E}">
          <x14:id>{5623D274-5F6E-4FA5-BD73-E7EF26D53EA7}</x14:id>
        </ext>
      </extLst>
    </cfRule>
  </conditionalFormatting>
  <conditionalFormatting sqref="N33:O45">
    <cfRule type="containsText" dxfId="40" priority="21" operator="containsText" text="PASS">
      <formula>NOT(ISERROR(SEARCH("PASS",N33)))</formula>
    </cfRule>
  </conditionalFormatting>
  <conditionalFormatting sqref="P4:XFD45">
    <cfRule type="beginsWith" dxfId="39" priority="510" operator="beginsWith" text="N/A">
      <formula>LEFT(P4,LEN("N/A"))="N/A"</formula>
    </cfRule>
  </conditionalFormatting>
  <conditionalFormatting sqref="D4">
    <cfRule type="containsText" dxfId="38" priority="5" operator="containsText" text="FAIL">
      <formula>NOT(ISERROR(SEARCH("FAIL",D4)))</formula>
    </cfRule>
    <cfRule type="containsText" dxfId="37" priority="6" operator="containsText" text="PASS">
      <formula>NOT(ISERROR(SEARCH("PASS",D4)))</formula>
    </cfRule>
  </conditionalFormatting>
  <conditionalFormatting sqref="D4:D32 D42:D45">
    <cfRule type="colorScale" priority="4">
      <colorScale>
        <cfvo type="num" val="0"/>
        <cfvo type="percentile" val="0.5"/>
        <cfvo type="num" val="1"/>
        <color rgb="FFF8696B"/>
        <color rgb="FFFFEB84"/>
        <color rgb="FF63BE7B"/>
      </colorScale>
    </cfRule>
  </conditionalFormatting>
  <conditionalFormatting sqref="D9 D11 D13 D16 D19 D21 D23 D27 D32">
    <cfRule type="containsText" dxfId="36" priority="7" operator="containsText" text="PASS">
      <formula>NOT(ISERROR(SEARCH("PASS",D9)))</formula>
    </cfRule>
  </conditionalFormatting>
  <conditionalFormatting sqref="D9 D11 D13 D16 D19 D21 D23 D27 D32">
    <cfRule type="containsText" dxfId="35" priority="8" operator="containsText" text="FAIL">
      <formula>NOT(ISERROR(SEARCH("FAIL",D9)))</formula>
    </cfRule>
  </conditionalFormatting>
  <conditionalFormatting sqref="D42">
    <cfRule type="containsText" dxfId="34" priority="1" operator="containsText" text="PASS">
      <formula>NOT(ISERROR(SEARCH("PASS",D42)))</formula>
    </cfRule>
    <cfRule type="containsText" dxfId="33" priority="2" operator="containsText" text="FAIL">
      <formula>NOT(ISERROR(SEARCH("FAIL",D42)))</formula>
    </cfRule>
  </conditionalFormatting>
  <conditionalFormatting sqref="D42:D45 D4:D32">
    <cfRule type="beginsWith" dxfId="32" priority="3" operator="beginsWith" text="N/A">
      <formula>LEFT(D4,LEN("N/A"))="N/A"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2FAFB6-A7A5-4239-8617-A34DAA64C1A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5623D274-5F6E-4FA5-BD73-E7EF26D53EA7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N4:N45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40A2-90C5-491C-9AF9-F1F048EAAAD9}">
  <sheetPr>
    <tabColor theme="4"/>
  </sheetPr>
  <dimension ref="A1:N11"/>
  <sheetViews>
    <sheetView showGridLines="0" zoomScale="80" zoomScaleNormal="80" workbookViewId="0">
      <pane xSplit="5" ySplit="3" topLeftCell="F4" activePane="bottomRight" state="frozen"/>
      <selection pane="topRight" activeCell="H1" sqref="H1"/>
      <selection pane="bottomLeft" activeCell="A4" sqref="A4"/>
      <selection pane="bottomRight" sqref="A1:A3"/>
    </sheetView>
  </sheetViews>
  <sheetFormatPr defaultColWidth="9.140625" defaultRowHeight="15" customHeight="1" x14ac:dyDescent="0.2"/>
  <cols>
    <col min="1" max="1" width="6.7109375" style="29" customWidth="1"/>
    <col min="2" max="2" width="8" style="29" bestFit="1" customWidth="1"/>
    <col min="3" max="4" width="4.85546875" style="29" customWidth="1"/>
    <col min="5" max="5" width="7.28515625" style="29" customWidth="1"/>
    <col min="6" max="6" width="7.7109375" style="29" customWidth="1"/>
    <col min="7" max="7" width="6.42578125" style="29" bestFit="1" customWidth="1"/>
    <col min="8" max="8" width="7.7109375" style="29" customWidth="1"/>
    <col min="9" max="9" width="6.42578125" style="29" bestFit="1" customWidth="1"/>
    <col min="10" max="10" width="7.7109375" style="29" customWidth="1"/>
    <col min="11" max="11" width="6.42578125" style="29" bestFit="1" customWidth="1"/>
    <col min="12" max="12" width="10.85546875" style="29" bestFit="1" customWidth="1"/>
    <col min="13" max="13" width="13.7109375" style="29" bestFit="1" customWidth="1"/>
    <col min="14" max="14" width="15.7109375" style="29" customWidth="1"/>
    <col min="15" max="16384" width="9.140625" style="29"/>
  </cols>
  <sheetData>
    <row r="1" spans="1:14" s="30" customFormat="1" ht="15" customHeight="1" thickBot="1" x14ac:dyDescent="0.3">
      <c r="A1" s="156" t="s">
        <v>76</v>
      </c>
      <c r="B1" s="161" t="s">
        <v>44</v>
      </c>
      <c r="C1" s="182" t="s">
        <v>72</v>
      </c>
      <c r="D1" s="201"/>
      <c r="E1" s="204" t="s">
        <v>84</v>
      </c>
      <c r="F1" s="183" t="s">
        <v>45</v>
      </c>
      <c r="G1" s="187"/>
      <c r="H1" s="187"/>
      <c r="I1" s="187"/>
      <c r="J1" s="187"/>
      <c r="K1" s="187"/>
      <c r="L1" s="187"/>
      <c r="M1" s="187"/>
      <c r="N1" s="188"/>
    </row>
    <row r="2" spans="1:14" s="30" customFormat="1" ht="15" customHeight="1" thickBot="1" x14ac:dyDescent="0.3">
      <c r="A2" s="157"/>
      <c r="B2" s="161"/>
      <c r="C2" s="183"/>
      <c r="D2" s="202"/>
      <c r="E2" s="205"/>
      <c r="F2" s="193" t="s">
        <v>49</v>
      </c>
      <c r="G2" s="186"/>
      <c r="H2" s="185" t="s">
        <v>50</v>
      </c>
      <c r="I2" s="186"/>
      <c r="J2" s="185" t="s">
        <v>51</v>
      </c>
      <c r="K2" s="186"/>
      <c r="L2" s="191" t="s">
        <v>83</v>
      </c>
      <c r="M2" s="52" t="s">
        <v>105</v>
      </c>
      <c r="N2" s="189" t="s">
        <v>60</v>
      </c>
    </row>
    <row r="3" spans="1:14" s="30" customFormat="1" ht="18.75" thickBot="1" x14ac:dyDescent="0.3">
      <c r="A3" s="158"/>
      <c r="B3" s="162"/>
      <c r="C3" s="184"/>
      <c r="D3" s="203"/>
      <c r="E3" s="182"/>
      <c r="F3" s="96" t="s">
        <v>75</v>
      </c>
      <c r="G3" s="97" t="s">
        <v>65</v>
      </c>
      <c r="H3" s="96" t="s">
        <v>75</v>
      </c>
      <c r="I3" s="97" t="s">
        <v>65</v>
      </c>
      <c r="J3" s="96" t="s">
        <v>75</v>
      </c>
      <c r="K3" s="97" t="s">
        <v>65</v>
      </c>
      <c r="L3" s="192"/>
      <c r="M3" s="53" t="e">
        <f>AVERAGE(M4:M9)</f>
        <v>#DIV/0!</v>
      </c>
      <c r="N3" s="190"/>
    </row>
    <row r="4" spans="1:14" s="30" customFormat="1" ht="15" customHeight="1" thickBot="1" x14ac:dyDescent="0.3">
      <c r="A4" s="210" t="s">
        <v>77</v>
      </c>
      <c r="B4" s="52" t="s">
        <v>81</v>
      </c>
      <c r="C4" s="214" t="str" cm="1">
        <f t="array" ref="C4">IFERROR(AVERAGE(IF(($M$2:$TI$2="Sensitivity") * ISNUMBER(M4:TI4), M4:TI4)), "N/A")</f>
        <v>N/A</v>
      </c>
      <c r="D4" s="215"/>
      <c r="E4" s="31" t="s">
        <v>85</v>
      </c>
      <c r="F4" s="85"/>
      <c r="G4" s="69" t="str">
        <f>IF(F4="", "N/A", IF(F4="-", "FAIL", IF(F4&gt;=1, "PASS", "FAIL")))</f>
        <v>N/A</v>
      </c>
      <c r="H4" s="88"/>
      <c r="I4" s="69" t="str">
        <f>IF(H4="", "N/A", IF(H4="-", "FAIL", IF(H4&gt;=1, "PASS", "FAIL")))</f>
        <v>N/A</v>
      </c>
      <c r="J4" s="88"/>
      <c r="K4" s="69" t="str">
        <f>IF(J4="", "N/A", IF(J4="-", "FAIL", IF(J4&gt;=1, "PASS", "FAIL")))</f>
        <v>N/A</v>
      </c>
      <c r="L4" s="66" t="str" cm="1">
        <f t="array" ref="L4">IF(COUNTIFS(G4:K4,"PASS")+COUNTIFS(G4:K4,"FAIL")=0,"N/A",IF(MIN(_xlfn.BYROW(G4:K4,_xlfn.LAMBDA(_xlpm.row,IF(COUNTIFS(_xlpm.row,"PASS")+COUNTIFS(_xlpm.row,"FAIL")&gt;0,COUNTIF(_xlpm.row,"PASS"),1))))&gt;0,"PASS","FAIL"))</f>
        <v>N/A</v>
      </c>
      <c r="M4" s="34" t="str">
        <f>IF(
  (COUNTIFS(G4,"PASS")+COUNTIFS(G4,"FAIL")+COUNTIFS(I4,"PASS")+COUNTIFS(I4,"FAIL")+COUNTIFS(K4,"PASS")+COUNTIFS(K4,"FAIL"))=0,
  "",
  (
    --(UPPER(TRIM(G4))="PASS")
    +--(UPPER(TRIM(I4))="PASS")
    +--(UPPER(TRIM(K4))="PASS")
  )
  /
  (
    (UPPER(TRIM(G4))="PASS")+(UPPER(TRIM(G4))="FAIL")
    +(UPPER(TRIM(I4))="PASS")+(UPPER(TRIM(I4))="FAIL")
    +(UPPER(TRIM(K4))="PASS")+(UPPER(TRIM(K4))="FAIL")
  )
)</f>
        <v/>
      </c>
      <c r="N4" s="77"/>
    </row>
    <row r="5" spans="1:14" s="30" customFormat="1" ht="15" customHeight="1" thickBot="1" x14ac:dyDescent="0.3">
      <c r="A5" s="211"/>
      <c r="B5" s="60" t="s">
        <v>82</v>
      </c>
      <c r="C5" s="214" t="str" cm="1">
        <f t="array" ref="C5">IFERROR(AVERAGE(IF(($M$2:$TI$2="Sensitivity") * ISNUMBER(M5:TI5), M5:TI5)), "N/A")</f>
        <v>N/A</v>
      </c>
      <c r="D5" s="215"/>
      <c r="E5" s="37" t="s">
        <v>87</v>
      </c>
      <c r="F5" s="86"/>
      <c r="G5" s="71" t="str">
        <f>IF(F5="", "N/A", IF(F5="-", "FAIL", IF(F5&gt;=1, "PASS", "FAIL")))</f>
        <v>N/A</v>
      </c>
      <c r="H5" s="89"/>
      <c r="I5" s="71" t="str">
        <f>IF(H5="", "N/A", IF(H5="-", "FAIL", IF(H5&gt;=1, "PASS", "FAIL")))</f>
        <v>N/A</v>
      </c>
      <c r="J5" s="89"/>
      <c r="K5" s="71" t="str">
        <f>IF(J5="", "N/A", IF(J5="-", "FAIL", IF(J5&gt;=1, "PASS", "FAIL")))</f>
        <v>N/A</v>
      </c>
      <c r="L5" s="67" t="str" cm="1">
        <f t="array" ref="L5">IF(COUNTIFS(G5:K5,"PASS")+COUNTIFS(G5:K5,"FAIL")=0,"N/A",IF(MIN(_xlfn.BYROW(G5:K5,_xlfn.LAMBDA(_xlpm.row,IF(COUNTIFS(_xlpm.row,"PASS")+COUNTIFS(_xlpm.row,"FAIL")&gt;0,COUNTIF(_xlpm.row,"PASS"),1))))&gt;0,"PASS","FAIL"))</f>
        <v>N/A</v>
      </c>
      <c r="M5" s="40" t="str">
        <f t="shared" ref="M5:M9" si="0">IF(
  (COUNTIFS(G5,"PASS")+COUNTIFS(G5,"FAIL")+COUNTIFS(I5,"PASS")+COUNTIFS(I5,"FAIL")+COUNTIFS(K5,"PASS")+COUNTIFS(K5,"FAIL"))=0,
  "",
  (
    --(UPPER(TRIM(G5))="PASS")
    +--(UPPER(TRIM(I5))="PASS")
    +--(UPPER(TRIM(K5))="PASS")
  )
  /
  (
    (UPPER(TRIM(G5))="PASS")+(UPPER(TRIM(G5))="FAIL")
    +(UPPER(TRIM(I5))="PASS")+(UPPER(TRIM(I5))="FAIL")
    +(UPPER(TRIM(K5))="PASS")+(UPPER(TRIM(K5))="FAIL")
  )
)</f>
        <v/>
      </c>
      <c r="N5" s="56"/>
    </row>
    <row r="6" spans="1:14" s="30" customFormat="1" ht="15" customHeight="1" thickBot="1" x14ac:dyDescent="0.3">
      <c r="A6" s="212" t="s">
        <v>78</v>
      </c>
      <c r="B6" s="213"/>
      <c r="C6" s="214" t="str" cm="1">
        <f t="array" ref="C6">IFERROR(AVERAGE(IF(($M$2:$TI$2="Sensitivity") * ISNUMBER(M6:TI6), M6:TI6)), "N/A")</f>
        <v>N/A</v>
      </c>
      <c r="D6" s="215"/>
      <c r="E6" s="50" t="s">
        <v>62</v>
      </c>
      <c r="F6" s="94"/>
      <c r="G6" s="75" t="str">
        <f>IF(F6="", "N/A", IF(F6="-", "FAIL", IF(AND(F6&gt;=1, F6&lt;=2), "PASS", "FAIL")))</f>
        <v>N/A</v>
      </c>
      <c r="H6" s="91"/>
      <c r="I6" s="75" t="str">
        <f>IF(H6="", "N/A", IF(H6="-", "FAIL", IF(AND(H6&gt;=1, H6&lt;=2), "PASS", "FAIL")))</f>
        <v>N/A</v>
      </c>
      <c r="J6" s="91"/>
      <c r="K6" s="75" t="str">
        <f>IF(J6="", "N/A", IF(J6="-", "FAIL", IF(AND(J6&gt;=1, J6&lt;=2), "PASS", "FAIL")))</f>
        <v>N/A</v>
      </c>
      <c r="L6" s="58" t="str" cm="1">
        <f t="array" ref="L6">IF(COUNTIFS(G6:K6,"PASS")+COUNTIFS(G6:K6,"FAIL")=0,"N/A",IF(MIN(_xlfn.BYROW(G6:K6,_xlfn.LAMBDA(_xlpm.row,IF(COUNTIFS(_xlpm.row,"PASS")+COUNTIFS(_xlpm.row,"FAIL")&gt;0,COUNTIF(_xlpm.row,"PASS"),1))))&gt;0,"PASS","FAIL"))</f>
        <v>N/A</v>
      </c>
      <c r="M6" s="62" t="str">
        <f t="shared" si="0"/>
        <v/>
      </c>
      <c r="N6" s="78"/>
    </row>
    <row r="7" spans="1:14" s="30" customFormat="1" ht="15" customHeight="1" thickBot="1" x14ac:dyDescent="0.3">
      <c r="A7" s="212" t="s">
        <v>79</v>
      </c>
      <c r="B7" s="213"/>
      <c r="C7" s="214" t="str" cm="1">
        <f t="array" ref="C7">IFERROR(AVERAGE(IF(($M$2:$TI$2="Sensitivity") * ISNUMBER(M7:TI7), M7:TI7)), "N/A")</f>
        <v>N/A</v>
      </c>
      <c r="D7" s="215"/>
      <c r="E7" s="63" t="s">
        <v>70</v>
      </c>
      <c r="F7" s="95"/>
      <c r="G7" s="75" t="str">
        <f>IF(F7="", "N/A", IF(F7="-", "FAIL", IF(F7&gt;=3, "PASS", "FAIL")))</f>
        <v>N/A</v>
      </c>
      <c r="H7" s="91"/>
      <c r="I7" s="75" t="str">
        <f>IF(H7="", "N/A", IF(H7="-", "FAIL", IF(H7&gt;=3, "PASS", "FAIL")))</f>
        <v>N/A</v>
      </c>
      <c r="J7" s="91"/>
      <c r="K7" s="75" t="str">
        <f>IF(J7="", "N/A", IF(J7="-", "FAIL", IF(J7&gt;=3, "PASS", "FAIL")))</f>
        <v>N/A</v>
      </c>
      <c r="L7" s="51" t="str" cm="1">
        <f t="array" ref="L7">IF(COUNTIFS(G7:K7,"PASS")+COUNTIFS(G7:K7,"FAIL")=0,"N/A",IF(MIN(_xlfn.BYROW(G7:K7,_xlfn.LAMBDA(_xlpm.row,IF(COUNTIFS(_xlpm.row,"PASS")+COUNTIFS(_xlpm.row,"FAIL")&gt;0,COUNTIF(_xlpm.row,"PASS"),1))))&gt;0,"PASS","FAIL"))</f>
        <v>N/A</v>
      </c>
      <c r="M7" s="48" t="str">
        <f t="shared" si="0"/>
        <v/>
      </c>
      <c r="N7" s="79"/>
    </row>
    <row r="8" spans="1:14" s="30" customFormat="1" ht="15" customHeight="1" x14ac:dyDescent="0.25">
      <c r="A8" s="206" t="s">
        <v>80</v>
      </c>
      <c r="B8" s="68" t="s">
        <v>79</v>
      </c>
      <c r="C8" s="194" t="str" cm="1">
        <f t="array" ref="C8">IFERROR(AVERAGE(IF(($M$2:$TI$2="Sensitivity") * ISNUMBER(M8:TI9), M8:TI9)), "N/A")</f>
        <v>N/A</v>
      </c>
      <c r="D8" s="208"/>
      <c r="E8" s="31" t="s">
        <v>63</v>
      </c>
      <c r="F8" s="87"/>
      <c r="G8" s="69" t="str">
        <f>IF(F8="", "N/A", IF(F8="-", "FAIL", IF(F8&lt;=12, "PASS", "FAIL")))</f>
        <v>N/A</v>
      </c>
      <c r="H8" s="90"/>
      <c r="I8" s="69" t="str">
        <f>IF(H8="", "N/A", IF(H8="-", "FAIL", IF(H8&lt;=12, "PASS", "FAIL")))</f>
        <v>N/A</v>
      </c>
      <c r="J8" s="90"/>
      <c r="K8" s="69" t="str">
        <f>IF(J8="", "N/A", IF(J8="-", "FAIL", IF(J8&lt;=12, "PASS", "FAIL")))</f>
        <v>N/A</v>
      </c>
      <c r="L8" s="178" t="str" cm="1">
        <f t="array" ref="L8">IF(COUNTIFS(G8:K9,"PASS")+COUNTIFS(G8:K9,"FAIL")=0,"N/A",IF(MIN(_xlfn.BYROW(G8:K9,_xlfn.LAMBDA(_xlpm.row,IF(COUNTIFS(_xlpm.row,"PASS")+COUNTIFS(_xlpm.row,"FAIL")&gt;0,COUNTIF(_xlpm.row,"PASS"),1))))&gt;0,"PASS","FAIL"))</f>
        <v>N/A</v>
      </c>
      <c r="M8" s="34" t="str">
        <f t="shared" si="0"/>
        <v/>
      </c>
      <c r="N8" s="135"/>
    </row>
    <row r="9" spans="1:14" s="30" customFormat="1" ht="15" customHeight="1" thickBot="1" x14ac:dyDescent="0.3">
      <c r="A9" s="207"/>
      <c r="B9" s="144" t="s">
        <v>86</v>
      </c>
      <c r="C9" s="200"/>
      <c r="D9" s="209"/>
      <c r="E9" s="145" t="s">
        <v>71</v>
      </c>
      <c r="F9" s="146"/>
      <c r="G9" s="140" t="str">
        <f>IF(F9="", "N/A", IF(F9="-", "FAIL", IF(F9&lt;=13, "PASS", "FAIL")))</f>
        <v>N/A</v>
      </c>
      <c r="H9" s="147"/>
      <c r="I9" s="140" t="str">
        <f>IF(H9="", "N/A", IF(H9="-", "FAIL", IF(H9&lt;=13, "PASS", "FAIL")))</f>
        <v>N/A</v>
      </c>
      <c r="J9" s="147"/>
      <c r="K9" s="140" t="str">
        <f>IF(J9="", "N/A", IF(J9="-", "FAIL", IF(J9&lt;=13, "PASS", "FAIL")))</f>
        <v>N/A</v>
      </c>
      <c r="L9" s="181"/>
      <c r="M9" s="148" t="str">
        <f t="shared" si="0"/>
        <v/>
      </c>
      <c r="N9" s="143"/>
    </row>
    <row r="10" spans="1:14" s="54" customFormat="1" ht="15" customHeight="1" thickTop="1" x14ac:dyDescent="0.2">
      <c r="N10" s="55"/>
    </row>
    <row r="11" spans="1:14" s="59" customFormat="1" ht="15" customHeight="1" thickBot="1" x14ac:dyDescent="0.25"/>
  </sheetData>
  <mergeCells count="20">
    <mergeCell ref="A8:A9"/>
    <mergeCell ref="L8:L9"/>
    <mergeCell ref="C8:D9"/>
    <mergeCell ref="A4:A5"/>
    <mergeCell ref="A6:B6"/>
    <mergeCell ref="A7:B7"/>
    <mergeCell ref="C4:D4"/>
    <mergeCell ref="C5:D5"/>
    <mergeCell ref="C6:D6"/>
    <mergeCell ref="C7:D7"/>
    <mergeCell ref="A1:A3"/>
    <mergeCell ref="B1:B3"/>
    <mergeCell ref="C1:D3"/>
    <mergeCell ref="E1:E3"/>
    <mergeCell ref="F1:N1"/>
    <mergeCell ref="F2:G2"/>
    <mergeCell ref="H2:I2"/>
    <mergeCell ref="J2:K2"/>
    <mergeCell ref="L2:L3"/>
    <mergeCell ref="N2:N3"/>
  </mergeCells>
  <conditionalFormatting sqref="C1:XFD3 A1:B4 L4:XFD8 B5 A6:A8 M9:XFD9 A10:XFD1048576">
    <cfRule type="beginsWith" dxfId="31" priority="113" operator="beginsWith" text="N/A">
      <formula>LEFT(A1,LEN("N/A"))="N/A"</formula>
    </cfRule>
    <cfRule type="containsText" dxfId="30" priority="126" operator="containsText" text="FAIL">
      <formula>NOT(ISERROR(SEARCH("FAIL",A1)))</formula>
    </cfRule>
    <cfRule type="containsText" dxfId="29" priority="139" operator="containsText" text="PASS">
      <formula>NOT(ISERROR(SEARCH("PASS",A1)))</formula>
    </cfRule>
  </conditionalFormatting>
  <conditionalFormatting sqref="E4:K9">
    <cfRule type="beginsWith" dxfId="28" priority="9" operator="beginsWith" text="N/A">
      <formula>LEFT(E4,LEN("N/A"))="N/A"</formula>
    </cfRule>
    <cfRule type="containsText" dxfId="27" priority="10" operator="containsText" text="FAIL">
      <formula>NOT(ISERROR(SEARCH("FAIL",E4)))</formula>
    </cfRule>
    <cfRule type="containsText" dxfId="26" priority="11" operator="containsText" text="PASS">
      <formula>NOT(ISERROR(SEARCH("PASS",E4)))</formula>
    </cfRule>
  </conditionalFormatting>
  <conditionalFormatting sqref="M3">
    <cfRule type="dataBar" priority="127">
      <dataBar>
        <cfvo type="num" val="0"/>
        <cfvo type="num" val="1"/>
        <color rgb="FFFC6500"/>
      </dataBar>
      <extLst>
        <ext xmlns:x14="http://schemas.microsoft.com/office/spreadsheetml/2009/9/main" uri="{B025F937-C7B1-47D3-B67F-A62EFF666E3E}">
          <x14:id>{2B5930A1-6A8F-4147-B396-807B2C699CDD}</x14:id>
        </ext>
      </extLst>
    </cfRule>
  </conditionalFormatting>
  <conditionalFormatting sqref="M4:M9">
    <cfRule type="dataBar" priority="128">
      <dataBar>
        <cfvo type="num" val="0"/>
        <cfvo type="num" val="1"/>
        <color theme="0" tint="-0.14999847407452621"/>
      </dataBar>
      <extLst>
        <ext xmlns:x14="http://schemas.microsoft.com/office/spreadsheetml/2009/9/main" uri="{B025F937-C7B1-47D3-B67F-A62EFF666E3E}">
          <x14:id>{489BCF8C-DFD8-46B6-A217-36913439A530}</x14:id>
        </ext>
      </extLst>
    </cfRule>
  </conditionalFormatting>
  <conditionalFormatting sqref="C4:C8">
    <cfRule type="beginsWith" dxfId="25" priority="1" operator="beginsWith" text="N/A">
      <formula>LEFT(C4,LEN("N/A"))="N/A"</formula>
    </cfRule>
    <cfRule type="containsText" dxfId="24" priority="2" operator="containsText" text="FAIL">
      <formula>NOT(ISERROR(SEARCH("FAIL",C4)))</formula>
    </cfRule>
    <cfRule type="colorScale" priority="3">
      <colorScale>
        <cfvo type="num" val="0"/>
        <cfvo type="percentile" val="0.5"/>
        <cfvo type="num" val="1"/>
        <color rgb="FFF8696B"/>
        <color rgb="FFFFEB84"/>
        <color rgb="FF63BE7B"/>
      </colorScale>
    </cfRule>
    <cfRule type="containsText" dxfId="23" priority="4" operator="containsText" text="PASS">
      <formula>NOT(ISERROR(SEARCH("PASS",C4)))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5930A1-6A8F-4147-B396-807B2C699CD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89BCF8C-DFD8-46B6-A217-36913439A530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M4:M9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03D3-2D45-4994-B765-2792C00EDD9E}">
  <sheetPr>
    <tabColor theme="1"/>
  </sheetPr>
  <dimension ref="A1:N16"/>
  <sheetViews>
    <sheetView showGridLines="0" zoomScale="80" zoomScaleNormal="80" workbookViewId="0">
      <pane xSplit="5" ySplit="3" topLeftCell="F4" activePane="bottomRight" state="frozen"/>
      <selection pane="topRight" activeCell="F1" sqref="F1"/>
      <selection pane="bottomLeft" activeCell="A4" sqref="A4"/>
      <selection pane="bottomRight" sqref="A1:A3"/>
    </sheetView>
  </sheetViews>
  <sheetFormatPr defaultRowHeight="15" x14ac:dyDescent="0.25"/>
  <cols>
    <col min="1" max="1" width="11" bestFit="1" customWidth="1"/>
    <col min="2" max="2" width="6.7109375" customWidth="1"/>
    <col min="3" max="3" width="8" bestFit="1" customWidth="1"/>
    <col min="4" max="5" width="7.28515625" customWidth="1"/>
    <col min="6" max="6" width="7.7109375" customWidth="1"/>
    <col min="7" max="7" width="6.42578125" bestFit="1" customWidth="1"/>
    <col min="8" max="8" width="7.7109375" customWidth="1"/>
    <col min="9" max="9" width="6.42578125" bestFit="1" customWidth="1"/>
    <col min="10" max="10" width="7.7109375" customWidth="1"/>
    <col min="11" max="11" width="6.42578125" bestFit="1" customWidth="1"/>
    <col min="12" max="12" width="10.85546875" bestFit="1" customWidth="1"/>
    <col min="13" max="13" width="13.7109375" bestFit="1" customWidth="1"/>
    <col min="14" max="14" width="15.7109375" customWidth="1"/>
  </cols>
  <sheetData>
    <row r="1" spans="1:14" ht="15" customHeight="1" thickBot="1" x14ac:dyDescent="0.3">
      <c r="A1" s="226" t="s">
        <v>88</v>
      </c>
      <c r="B1" s="156" t="s">
        <v>76</v>
      </c>
      <c r="C1" s="161" t="s">
        <v>44</v>
      </c>
      <c r="D1" s="183" t="s">
        <v>84</v>
      </c>
      <c r="E1" s="187"/>
      <c r="F1" s="183" t="s">
        <v>45</v>
      </c>
      <c r="G1" s="187"/>
      <c r="H1" s="187"/>
      <c r="I1" s="187"/>
      <c r="J1" s="187"/>
      <c r="K1" s="187"/>
      <c r="L1" s="187"/>
      <c r="M1" s="187"/>
      <c r="N1" s="188"/>
    </row>
    <row r="2" spans="1:14" ht="15" customHeight="1" thickBot="1" x14ac:dyDescent="0.3">
      <c r="A2" s="227"/>
      <c r="B2" s="157"/>
      <c r="C2" s="161"/>
      <c r="D2" s="228"/>
      <c r="E2" s="229"/>
      <c r="F2" s="230" t="s">
        <v>49</v>
      </c>
      <c r="G2" s="231"/>
      <c r="H2" s="232" t="s">
        <v>50</v>
      </c>
      <c r="I2" s="231"/>
      <c r="J2" s="232" t="s">
        <v>51</v>
      </c>
      <c r="K2" s="231"/>
      <c r="L2" s="191" t="s">
        <v>83</v>
      </c>
      <c r="M2" s="52" t="s">
        <v>52</v>
      </c>
      <c r="N2" s="189" t="s">
        <v>60</v>
      </c>
    </row>
    <row r="3" spans="1:14" ht="18.75" customHeight="1" thickBot="1" x14ac:dyDescent="0.3">
      <c r="A3" s="227"/>
      <c r="B3" s="158"/>
      <c r="C3" s="162"/>
      <c r="D3" s="76" t="s">
        <v>89</v>
      </c>
      <c r="E3" s="80" t="s">
        <v>90</v>
      </c>
      <c r="F3" s="64" t="s">
        <v>75</v>
      </c>
      <c r="G3" s="65" t="s">
        <v>65</v>
      </c>
      <c r="H3" s="64" t="s">
        <v>75</v>
      </c>
      <c r="I3" s="65" t="s">
        <v>65</v>
      </c>
      <c r="J3" s="64" t="s">
        <v>75</v>
      </c>
      <c r="K3" s="65" t="s">
        <v>65</v>
      </c>
      <c r="L3" s="192"/>
      <c r="M3" s="53" t="e">
        <f>AVERAGE(M4:M10)</f>
        <v>#DIV/0!</v>
      </c>
      <c r="N3" s="190"/>
    </row>
    <row r="4" spans="1:14" ht="15" customHeight="1" thickBot="1" x14ac:dyDescent="0.3">
      <c r="A4" s="163" t="s">
        <v>91</v>
      </c>
      <c r="B4" s="216" t="s">
        <v>92</v>
      </c>
      <c r="C4" s="217"/>
      <c r="D4" s="31"/>
      <c r="E4" s="63"/>
      <c r="F4" s="81"/>
      <c r="G4" s="69" t="str">
        <f>IF(F4="", "N/A", IF(F4="-", "FAIL", IF(AND(F4&gt;=3, F4&lt;=4), "PASS", "FAIL")))</f>
        <v>N/A</v>
      </c>
      <c r="H4" s="33"/>
      <c r="I4" s="69" t="str">
        <f>IF(H4="", "N/A", IF(H4="-", "FAIL", IF(AND(H4&gt;=3, H4&lt;=4), "PASS", "FAIL")))</f>
        <v>N/A</v>
      </c>
      <c r="J4" s="33"/>
      <c r="K4" s="69" t="str">
        <f>IF(J4="", "N/A", IF(J4="-", "FAIL", IF(AND(J4&gt;=3, J4&lt;=4), "PASS", "FAIL")))</f>
        <v>N/A</v>
      </c>
      <c r="L4" s="66" t="str" cm="1">
        <f t="array" ref="L4">IF(COUNTIFS(G4:K4,"PASS")+COUNTIFS(G4:K4,"FAIL")=0,"N/A",IF(MIN(_xlfn.BYROW(G4:K4,_xlfn.LAMBDA(_xlpm.row,IF(COUNTIFS(_xlpm.row,"PASS")+COUNTIFS(_xlpm.row,"FAIL")&gt;0,COUNTIF(_xlpm.row,"PASS"),1))))&gt;0,"PASS","FAIL"))</f>
        <v>N/A</v>
      </c>
      <c r="M4" s="34" t="str">
        <f>IF(
  (COUNTIFS(G4,"PASS")+COUNTIFS(G4,"FAIL")+COUNTIFS(I4,"PASS")+COUNTIFS(I4,"FAIL")+COUNTIFS(K4,"PASS")+COUNTIFS(K4,"FAIL"))=0,
  "",
  (
    --(UPPER(TRIM(G4))="PASS")
    +--(UPPER(TRIM(I4))="PASS")
    +--(UPPER(TRIM(K4))="PASS")
  )
  /
  (
    (UPPER(TRIM(G4))="PASS")+(UPPER(TRIM(G4))="FAIL")
    +(UPPER(TRIM(I4))="PASS")+(UPPER(TRIM(I4))="FAIL")
    +(UPPER(TRIM(K4))="PASS")+(UPPER(TRIM(K4))="FAIL")
  )
)</f>
        <v/>
      </c>
      <c r="N4" s="77"/>
    </row>
    <row r="5" spans="1:14" ht="15" customHeight="1" thickBot="1" x14ac:dyDescent="0.3">
      <c r="A5" s="164"/>
      <c r="B5" s="216" t="s">
        <v>93</v>
      </c>
      <c r="C5" s="217"/>
      <c r="D5" s="31"/>
      <c r="E5" s="63"/>
      <c r="F5" s="81"/>
      <c r="G5" s="69" t="str">
        <f>IF(F5="", "N/A", IF(F5="-", "FAIL", IF(F5&lt;=12, "PASS", "FAIL")))</f>
        <v>N/A</v>
      </c>
      <c r="H5" s="33"/>
      <c r="I5" s="69" t="str">
        <f>IF(H5="", "N/A", IF(H5="-", "FAIL", IF(H5&lt;=12, "PASS", "FAIL")))</f>
        <v>N/A</v>
      </c>
      <c r="J5" s="33"/>
      <c r="K5" s="69" t="str">
        <f>IF(J5="", "N/A", IF(J5="-", "FAIL", IF(J5&lt;=12, "PASS", "FAIL")))</f>
        <v>N/A</v>
      </c>
      <c r="L5" s="66" t="str" cm="1">
        <f t="array" ref="L5">IF(COUNTIFS(G5:K5,"PASS")+COUNTIFS(G5:K5,"FAIL")=0,"N/A",IF(MIN(_xlfn.BYROW(G5:K5,_xlfn.LAMBDA(_xlpm.row,IF(COUNTIFS(_xlpm.row,"PASS")+COUNTIFS(_xlpm.row,"FAIL")&gt;0,COUNTIF(_xlpm.row,"PASS"),1))))&gt;0,"PASS","FAIL"))</f>
        <v>N/A</v>
      </c>
      <c r="M5" s="34" t="str">
        <f t="shared" ref="M5:M10" si="0">IF(
  (COUNTIFS(G5,"PASS")+COUNTIFS(G5,"FAIL")+COUNTIFS(I5,"PASS")+COUNTIFS(I5,"FAIL")+COUNTIFS(K5,"PASS")+COUNTIFS(K5,"FAIL"))=0,
  "",
  (
    --(UPPER(TRIM(G5))="PASS")
    +--(UPPER(TRIM(I5))="PASS")
    +--(UPPER(TRIM(K5))="PASS")
  )
  /
  (
    (UPPER(TRIM(G5))="PASS")+(UPPER(TRIM(G5))="FAIL")
    +(UPPER(TRIM(I5))="PASS")+(UPPER(TRIM(I5))="FAIL")
    +(UPPER(TRIM(K5))="PASS")+(UPPER(TRIM(K5))="FAIL")
  )
)</f>
        <v/>
      </c>
      <c r="N5" s="77"/>
    </row>
    <row r="6" spans="1:14" ht="15" customHeight="1" thickBot="1" x14ac:dyDescent="0.3">
      <c r="A6" s="176"/>
      <c r="B6" s="216" t="s">
        <v>94</v>
      </c>
      <c r="C6" s="217"/>
      <c r="D6" s="31"/>
      <c r="E6" s="63"/>
      <c r="F6" s="32"/>
      <c r="G6" s="69" t="str">
        <f>IF(F6="", "N/A", IF(F6="-", "FAIL", IF(F6&lt;=12, "PASS", "FAIL")))</f>
        <v>N/A</v>
      </c>
      <c r="H6" s="33"/>
      <c r="I6" s="69" t="str">
        <f>IF(H6="", "N/A", IF(H6="-", "FAIL", IF(H6&lt;=12, "PASS", "FAIL")))</f>
        <v>N/A</v>
      </c>
      <c r="J6" s="33"/>
      <c r="K6" s="69" t="str">
        <f>IF(J6="", "N/A", IF(J6="-", "FAIL", IF(J6&lt;=12, "PASS", "FAIL")))</f>
        <v>N/A</v>
      </c>
      <c r="L6" s="66" t="str" cm="1">
        <f t="array" ref="L6">IF(COUNTIFS(G6:K6,"PASS")+COUNTIFS(G6:K6,"FAIL")=0,"N/A",IF(MIN(_xlfn.BYROW(G6:K6,_xlfn.LAMBDA(_xlpm.row,IF(COUNTIFS(_xlpm.row,"PASS")+COUNTIFS(_xlpm.row,"FAIL")&gt;0,COUNTIF(_xlpm.row,"PASS"),1))))&gt;0,"PASS","FAIL"))</f>
        <v>N/A</v>
      </c>
      <c r="M6" s="34" t="str">
        <f t="shared" si="0"/>
        <v/>
      </c>
      <c r="N6" s="77"/>
    </row>
    <row r="7" spans="1:14" ht="15" customHeight="1" x14ac:dyDescent="0.25">
      <c r="A7" s="218" t="s">
        <v>95</v>
      </c>
      <c r="B7" s="221" t="s">
        <v>77</v>
      </c>
      <c r="C7" s="52" t="s">
        <v>81</v>
      </c>
      <c r="D7" s="31" t="s">
        <v>85</v>
      </c>
      <c r="E7" s="31"/>
      <c r="F7" s="32"/>
      <c r="G7" s="69" t="str">
        <f>IF(F7="", "N/A", IF(F7="-", "FAIL", IF(F7&lt;=1, "PASS", "FAIL")))</f>
        <v>N/A</v>
      </c>
      <c r="H7" s="33"/>
      <c r="I7" s="69" t="str">
        <f>IF(H7="", "N/A", IF(H7="-", "FAIL", IF(H7&lt;=1, "PASS", "FAIL")))</f>
        <v>N/A</v>
      </c>
      <c r="J7" s="33"/>
      <c r="K7" s="69" t="str">
        <f>IF(J7="", "N/A", IF(J7="-", "FAIL", IF(J7&lt;=1, "PASS", "FAIL")))</f>
        <v>N/A</v>
      </c>
      <c r="L7" s="66" t="str" cm="1">
        <f t="array" ref="L7">IF(COUNTIFS(G7:K7,"PASS")+COUNTIFS(G7:K7,"FAIL")=0,"N/A",IF(MIN(_xlfn.BYROW(G7:K7,_xlfn.LAMBDA(_xlpm.row,IF(COUNTIFS(_xlpm.row,"PASS")+COUNTIFS(_xlpm.row,"FAIL")&gt;0,COUNTIF(_xlpm.row,"PASS"),1))))&gt;0,"PASS","FAIL"))</f>
        <v>N/A</v>
      </c>
      <c r="M7" s="34" t="str">
        <f t="shared" si="0"/>
        <v/>
      </c>
      <c r="N7" s="77"/>
    </row>
    <row r="8" spans="1:14" ht="15" customHeight="1" thickBot="1" x14ac:dyDescent="0.3">
      <c r="A8" s="219"/>
      <c r="B8" s="222"/>
      <c r="C8" s="60" t="s">
        <v>82</v>
      </c>
      <c r="D8" s="37" t="s">
        <v>87</v>
      </c>
      <c r="E8" s="37"/>
      <c r="F8" s="38"/>
      <c r="G8" s="71" t="str">
        <f>IF(F8="", "N/A", IF(F8="-", "FAIL", IF(F8&lt;=1, "PASS", "FAIL")))</f>
        <v>N/A</v>
      </c>
      <c r="H8" s="39"/>
      <c r="I8" s="71" t="str">
        <f>IF(H8="", "N/A", IF(H8="-", "FAIL", IF(H8&lt;=1, "PASS", "FAIL")))</f>
        <v>N/A</v>
      </c>
      <c r="J8" s="39"/>
      <c r="K8" s="71" t="str">
        <f>IF(J8="", "N/A", IF(J8="-", "FAIL", IF(J8&lt;=1, "PASS", "FAIL")))</f>
        <v>N/A</v>
      </c>
      <c r="L8" s="67" t="str" cm="1">
        <f t="array" ref="L8">IF(COUNTIFS(G8:K8,"PASS")+COUNTIFS(G8:K8,"FAIL")=0,"N/A",IF(MIN(_xlfn.BYROW(G8:K8,_xlfn.LAMBDA(_xlpm.row,IF(COUNTIFS(_xlpm.row,"PASS")+COUNTIFS(_xlpm.row,"FAIL")&gt;0,COUNTIF(_xlpm.row,"PASS"),1))))&gt;0,"PASS","FAIL"))</f>
        <v>N/A</v>
      </c>
      <c r="M8" s="40" t="str">
        <f t="shared" si="0"/>
        <v/>
      </c>
      <c r="N8" s="56"/>
    </row>
    <row r="9" spans="1:14" ht="15" customHeight="1" thickBot="1" x14ac:dyDescent="0.3">
      <c r="A9" s="219"/>
      <c r="B9" s="223" t="s">
        <v>78</v>
      </c>
      <c r="C9" s="213"/>
      <c r="D9" s="50" t="s">
        <v>62</v>
      </c>
      <c r="E9" s="63"/>
      <c r="F9" s="61"/>
      <c r="G9" s="75" t="str">
        <f>IF(F9="", "N/A", IF(F9="-", "FAIL", IF(F9&gt;=2, "PASS", "FAIL")))</f>
        <v>N/A</v>
      </c>
      <c r="H9" s="46"/>
      <c r="I9" s="75" t="str">
        <f>IF(H9="", "N/A", IF(H9="-", "FAIL", IF(H9&gt;=2, "PASS", "FAIL")))</f>
        <v>N/A</v>
      </c>
      <c r="J9" s="46"/>
      <c r="K9" s="75" t="str">
        <f>IF(J9="", "N/A", IF(J9="-", "FAIL", IF(J9&gt;=2, "PASS", "FAIL")))</f>
        <v>N/A</v>
      </c>
      <c r="L9" s="58" t="str" cm="1">
        <f t="array" ref="L9">IF(COUNTIFS(G9:K9,"PASS")+COUNTIFS(G9:K9,"FAIL")=0,"N/A",IF(MIN(_xlfn.BYROW(G9:K9,_xlfn.LAMBDA(_xlpm.row,IF(COUNTIFS(_xlpm.row,"PASS")+COUNTIFS(_xlpm.row,"FAIL")&gt;0,COUNTIF(_xlpm.row,"PASS"),1))))&gt;0,"PASS","FAIL"))</f>
        <v>N/A</v>
      </c>
      <c r="M9" s="62" t="str">
        <f t="shared" si="0"/>
        <v/>
      </c>
      <c r="N9" s="78"/>
    </row>
    <row r="10" spans="1:14" ht="15" customHeight="1" thickBot="1" x14ac:dyDescent="0.3">
      <c r="A10" s="220"/>
      <c r="B10" s="224" t="s">
        <v>79</v>
      </c>
      <c r="C10" s="225"/>
      <c r="D10" s="149" t="s">
        <v>70</v>
      </c>
      <c r="E10" s="149"/>
      <c r="F10" s="150"/>
      <c r="G10" s="151" t="str">
        <f>IF(F10="", "N/A", IF(F10="-", "FAIL", IF(F10&gt;=3, "PASS", "FAIL")))</f>
        <v>N/A</v>
      </c>
      <c r="H10" s="152"/>
      <c r="I10" s="151" t="str">
        <f>IF(H10="", "N/A", IF(H10="-", "FAIL", IF(H10&gt;=3, "PASS", "FAIL")))</f>
        <v>N/A</v>
      </c>
      <c r="J10" s="152"/>
      <c r="K10" s="151" t="str">
        <f>IF(J10="", "N/A", IF(J10="-", "FAIL", IF(J10&gt;=3, "PASS", "FAIL")))</f>
        <v>N/A</v>
      </c>
      <c r="L10" s="153" t="str" cm="1">
        <f t="array" ref="L10">IF(COUNTIFS(G10:K10,"PASS")+COUNTIFS(G10:K10,"FAIL")=0,"N/A",IF(MIN(_xlfn.BYROW(G10:K10,_xlfn.LAMBDA(_xlpm.row,IF(COUNTIFS(_xlpm.row,"PASS")+COUNTIFS(_xlpm.row,"FAIL")&gt;0,COUNTIF(_xlpm.row,"PASS"),1))))&gt;0,"PASS","FAIL"))</f>
        <v>N/A</v>
      </c>
      <c r="M10" s="154" t="str">
        <f t="shared" si="0"/>
        <v/>
      </c>
      <c r="N10" s="155"/>
    </row>
    <row r="11" spans="1:14" ht="15" customHeight="1" thickTop="1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5"/>
    </row>
    <row r="12" spans="1:14" ht="15" customHeight="1" x14ac:dyDescent="0.25">
      <c r="A12" s="83" t="s">
        <v>97</v>
      </c>
      <c r="B12" s="83" t="s">
        <v>96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/>
    </row>
    <row r="13" spans="1:14" ht="15" customHeight="1" x14ac:dyDescent="0.25">
      <c r="A13" s="82" t="s">
        <v>98</v>
      </c>
      <c r="B13" s="82" t="s">
        <v>99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5"/>
    </row>
    <row r="14" spans="1:14" ht="15" customHeight="1" x14ac:dyDescent="0.25">
      <c r="A14" s="82" t="s">
        <v>100</v>
      </c>
      <c r="B14" s="82" t="s">
        <v>101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5"/>
    </row>
    <row r="15" spans="1:14" ht="15" customHeight="1" x14ac:dyDescent="0.25">
      <c r="A15" s="82" t="s">
        <v>102</v>
      </c>
      <c r="B15" s="82" t="s">
        <v>103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5"/>
    </row>
    <row r="16" spans="1:14" ht="15" customHeight="1" thickBot="1" x14ac:dyDescent="0.3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</row>
  </sheetData>
  <mergeCells count="18">
    <mergeCell ref="A1:A3"/>
    <mergeCell ref="B1:B3"/>
    <mergeCell ref="C1:C3"/>
    <mergeCell ref="D1:E2"/>
    <mergeCell ref="F1:N1"/>
    <mergeCell ref="F2:G2"/>
    <mergeCell ref="H2:I2"/>
    <mergeCell ref="J2:K2"/>
    <mergeCell ref="L2:L3"/>
    <mergeCell ref="N2:N3"/>
    <mergeCell ref="A4:A6"/>
    <mergeCell ref="B4:C4"/>
    <mergeCell ref="B5:C5"/>
    <mergeCell ref="B6:C6"/>
    <mergeCell ref="A7:A10"/>
    <mergeCell ref="B7:B8"/>
    <mergeCell ref="B9:C9"/>
    <mergeCell ref="B10:C10"/>
  </mergeCells>
  <conditionalFormatting sqref="B1:D1 F1:N3 B2:C3 B4:B6 B7:C7 C8 B9:B10 B11:N16">
    <cfRule type="beginsWith" dxfId="22" priority="10" operator="beginsWith" text="N/A">
      <formula>LEFT(B1,LEN("N/A"))="N/A"</formula>
    </cfRule>
    <cfRule type="containsText" dxfId="21" priority="11" operator="containsText" text="FAIL">
      <formula>NOT(ISERROR(SEARCH("FAIL",B1)))</formula>
    </cfRule>
    <cfRule type="containsText" dxfId="20" priority="14" operator="containsText" text="PASS">
      <formula>NOT(ISERROR(SEARCH("PASS",B1)))</formula>
    </cfRule>
  </conditionalFormatting>
  <conditionalFormatting sqref="D4:N10">
    <cfRule type="beginsWith" dxfId="19" priority="1" operator="beginsWith" text="N/A">
      <formula>LEFT(D4,LEN("N/A"))="N/A"</formula>
    </cfRule>
    <cfRule type="containsText" dxfId="18" priority="2" operator="containsText" text="FAIL">
      <formula>NOT(ISERROR(SEARCH("FAIL",D4)))</formula>
    </cfRule>
    <cfRule type="containsText" dxfId="17" priority="3" operator="containsText" text="PASS">
      <formula>NOT(ISERROR(SEARCH("PASS",D4)))</formula>
    </cfRule>
  </conditionalFormatting>
  <conditionalFormatting sqref="M3">
    <cfRule type="dataBar" priority="12">
      <dataBar>
        <cfvo type="num" val="0"/>
        <cfvo type="num" val="1"/>
        <color rgb="FFFC6500"/>
      </dataBar>
      <extLst>
        <ext xmlns:x14="http://schemas.microsoft.com/office/spreadsheetml/2009/9/main" uri="{B025F937-C7B1-47D3-B67F-A62EFF666E3E}">
          <x14:id>{2076A39F-DC17-431E-8567-5C860E43872F}</x14:id>
        </ext>
      </extLst>
    </cfRule>
  </conditionalFormatting>
  <conditionalFormatting sqref="M4:M10">
    <cfRule type="dataBar" priority="13">
      <dataBar>
        <cfvo type="num" val="0"/>
        <cfvo type="num" val="1"/>
        <color theme="0" tint="-0.14999847407452621"/>
      </dataBar>
      <extLst>
        <ext xmlns:x14="http://schemas.microsoft.com/office/spreadsheetml/2009/9/main" uri="{B025F937-C7B1-47D3-B67F-A62EFF666E3E}">
          <x14:id>{A1841C03-2C56-4795-94A4-D0506D171C36}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76A39F-DC17-431E-8567-5C860E43872F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1841C03-2C56-4795-94A4-D0506D171C36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M4:M10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DA09-009E-47B6-A005-7E44AE1C7C38}">
  <dimension ref="A1:J53"/>
  <sheetViews>
    <sheetView zoomScaleNormal="100" workbookViewId="0">
      <pane xSplit="1" topLeftCell="B1" activePane="topRight" state="frozen"/>
      <selection pane="topRight" activeCell="D2" sqref="D2:E2"/>
    </sheetView>
  </sheetViews>
  <sheetFormatPr defaultColWidth="8.7109375" defaultRowHeight="14.25" x14ac:dyDescent="0.2"/>
  <cols>
    <col min="1" max="1" width="30.7109375" style="1" customWidth="1"/>
    <col min="2" max="3" width="8.7109375" style="3"/>
    <col min="4" max="4" width="16.5703125" style="3" customWidth="1"/>
    <col min="5" max="5" width="8.7109375" style="3"/>
    <col min="6" max="6" width="16.85546875" style="3" customWidth="1"/>
    <col min="7" max="7" width="8.7109375" style="3"/>
    <col min="8" max="8" width="17.140625" style="3" customWidth="1"/>
    <col min="9" max="16384" width="8.7109375" style="3"/>
  </cols>
  <sheetData>
    <row r="1" spans="1:9" ht="15" thickBot="1" x14ac:dyDescent="0.25">
      <c r="A1" s="27"/>
      <c r="B1" s="2"/>
      <c r="C1" s="2"/>
      <c r="D1" s="247" t="s">
        <v>67</v>
      </c>
      <c r="E1" s="248"/>
      <c r="F1" s="249"/>
      <c r="G1" s="249"/>
      <c r="H1" s="249"/>
      <c r="I1" s="250"/>
    </row>
    <row r="2" spans="1:9" x14ac:dyDescent="0.2">
      <c r="A2" s="28"/>
      <c r="B2" s="233" t="s">
        <v>64</v>
      </c>
      <c r="C2" s="244" t="s">
        <v>45</v>
      </c>
      <c r="D2" s="242" t="s">
        <v>49</v>
      </c>
      <c r="E2" s="237"/>
      <c r="F2" s="236" t="s">
        <v>50</v>
      </c>
      <c r="G2" s="237"/>
      <c r="H2" s="236" t="s">
        <v>51</v>
      </c>
      <c r="I2" s="237"/>
    </row>
    <row r="3" spans="1:9" x14ac:dyDescent="0.2">
      <c r="A3" s="28"/>
      <c r="B3" s="234"/>
      <c r="C3" s="245"/>
      <c r="D3" s="4" t="s">
        <v>61</v>
      </c>
      <c r="E3" s="5" t="s">
        <v>65</v>
      </c>
      <c r="F3" s="6" t="s">
        <v>61</v>
      </c>
      <c r="G3" s="7" t="s">
        <v>65</v>
      </c>
      <c r="H3" s="6" t="s">
        <v>61</v>
      </c>
      <c r="I3" s="7" t="s">
        <v>65</v>
      </c>
    </row>
    <row r="4" spans="1:9" ht="14.45" customHeight="1" thickBot="1" x14ac:dyDescent="0.25">
      <c r="A4" s="28"/>
      <c r="B4" s="234"/>
      <c r="C4" s="246"/>
      <c r="D4" s="8"/>
      <c r="E4" s="9" t="str">
        <f>IF(D4="", "", IF(D4="-", FALSE, IF(D4&lt;=14.4, "PASS", "FAIL")))</f>
        <v/>
      </c>
      <c r="F4" s="10"/>
      <c r="G4" s="11" t="str">
        <f>IF(F4="", "", IF(F4="-", FALSE, IF(F4&lt;=14.4, "PASS", "FAIL")))</f>
        <v/>
      </c>
      <c r="H4" s="12"/>
      <c r="I4" s="11" t="str">
        <f>IF(H4="", "", IF(H4="-", FALSE, IF(H4&lt;=14.4, "PASS", "FAIL")))</f>
        <v/>
      </c>
    </row>
    <row r="5" spans="1:9" x14ac:dyDescent="0.2">
      <c r="A5" s="28"/>
      <c r="B5" s="234"/>
      <c r="C5" s="244" t="s">
        <v>46</v>
      </c>
      <c r="D5" s="242" t="s">
        <v>49</v>
      </c>
      <c r="E5" s="237"/>
      <c r="F5" s="243" t="s">
        <v>50</v>
      </c>
      <c r="G5" s="239"/>
      <c r="H5" s="241" t="s">
        <v>51</v>
      </c>
      <c r="I5" s="239"/>
    </row>
    <row r="6" spans="1:9" x14ac:dyDescent="0.2">
      <c r="A6" s="28"/>
      <c r="B6" s="234"/>
      <c r="C6" s="245"/>
      <c r="D6" s="14" t="s">
        <v>61</v>
      </c>
      <c r="E6" s="13" t="s">
        <v>65</v>
      </c>
      <c r="F6" s="15" t="s">
        <v>61</v>
      </c>
      <c r="G6" s="7" t="s">
        <v>65</v>
      </c>
      <c r="H6" s="6" t="s">
        <v>61</v>
      </c>
      <c r="I6" s="7" t="s">
        <v>65</v>
      </c>
    </row>
    <row r="7" spans="1:9" ht="15.75" customHeight="1" thickBot="1" x14ac:dyDescent="0.25">
      <c r="A7" s="28"/>
      <c r="B7" s="234"/>
      <c r="C7" s="246"/>
      <c r="D7" s="8"/>
      <c r="E7" s="11" t="str">
        <f>IF(D7="", "", IF(D7="-", FALSE, IF(D7&lt;=14.4, "PASS", "FAIL")))</f>
        <v/>
      </c>
      <c r="F7" s="16"/>
      <c r="G7" s="17" t="str">
        <f>IF(F7="", "", IF(F7="-", FALSE, IF(F7&lt;=14.4, "PASS", "FAIL")))</f>
        <v/>
      </c>
      <c r="H7" s="18"/>
      <c r="I7" s="11" t="str">
        <f>IF(H7="", "", IF(H7="-", FALSE, IF(H7&lt;=14.4, "PASS", "FAIL")))</f>
        <v/>
      </c>
    </row>
    <row r="8" spans="1:9" x14ac:dyDescent="0.2">
      <c r="A8" s="28"/>
      <c r="B8" s="234"/>
      <c r="C8" s="244" t="s">
        <v>47</v>
      </c>
      <c r="D8" s="242" t="s">
        <v>49</v>
      </c>
      <c r="E8" s="236"/>
      <c r="F8" s="242" t="s">
        <v>50</v>
      </c>
      <c r="G8" s="237"/>
      <c r="H8" s="236" t="s">
        <v>51</v>
      </c>
      <c r="I8" s="237"/>
    </row>
    <row r="9" spans="1:9" x14ac:dyDescent="0.2">
      <c r="A9" s="28"/>
      <c r="B9" s="234"/>
      <c r="C9" s="245"/>
      <c r="D9" s="19" t="s">
        <v>61</v>
      </c>
      <c r="E9" s="20" t="s">
        <v>65</v>
      </c>
      <c r="F9" s="14" t="s">
        <v>61</v>
      </c>
      <c r="G9" s="21" t="s">
        <v>65</v>
      </c>
      <c r="H9" s="6" t="s">
        <v>61</v>
      </c>
      <c r="I9" s="7" t="s">
        <v>65</v>
      </c>
    </row>
    <row r="10" spans="1:9" ht="15.75" customHeight="1" thickBot="1" x14ac:dyDescent="0.25">
      <c r="A10" s="28"/>
      <c r="B10" s="234"/>
      <c r="C10" s="246"/>
      <c r="D10" s="10"/>
      <c r="E10" s="22" t="str">
        <f>IF(D10="", "", IF(D10="-", FALSE, IF(D10&lt;=14.4, "PASS", "FAIL")))</f>
        <v/>
      </c>
      <c r="F10" s="10"/>
      <c r="G10" s="23" t="str">
        <f>IF(F10="", "", IF(F10="-", FALSE, IF(F10&lt;=14.4, "PASS", "FAIL")))</f>
        <v/>
      </c>
      <c r="H10" s="12"/>
      <c r="I10" s="11" t="str">
        <f>IF(H10="", "", IF(H10="-", FALSE, IF(H10&lt;=14.4, "PASS", "FAIL")))</f>
        <v/>
      </c>
    </row>
    <row r="11" spans="1:9" x14ac:dyDescent="0.2">
      <c r="A11" s="28"/>
      <c r="B11" s="234"/>
      <c r="C11" s="244" t="s">
        <v>48</v>
      </c>
      <c r="D11" s="238" t="s">
        <v>49</v>
      </c>
      <c r="E11" s="239"/>
      <c r="F11" s="240" t="s">
        <v>50</v>
      </c>
      <c r="G11" s="237"/>
      <c r="H11" s="241" t="s">
        <v>51</v>
      </c>
      <c r="I11" s="239"/>
    </row>
    <row r="12" spans="1:9" x14ac:dyDescent="0.2">
      <c r="A12" s="28"/>
      <c r="B12" s="234"/>
      <c r="C12" s="245"/>
      <c r="D12" s="19" t="s">
        <v>61</v>
      </c>
      <c r="E12" s="20" t="s">
        <v>65</v>
      </c>
      <c r="F12" s="19" t="s">
        <v>61</v>
      </c>
      <c r="G12" s="7" t="s">
        <v>65</v>
      </c>
      <c r="H12" s="6" t="s">
        <v>61</v>
      </c>
      <c r="I12" s="7" t="s">
        <v>65</v>
      </c>
    </row>
    <row r="13" spans="1:9" ht="15.75" customHeight="1" thickBot="1" x14ac:dyDescent="0.25">
      <c r="A13" s="28"/>
      <c r="B13" s="235"/>
      <c r="C13" s="246"/>
      <c r="D13" s="10"/>
      <c r="E13" s="22" t="str">
        <f>IF(D13="", "", IF(D13="-", FALSE, IF(D13&lt;=14.4, "PASS", "FAIL")))</f>
        <v/>
      </c>
      <c r="F13" s="10"/>
      <c r="G13" s="23" t="str">
        <f>IF(F13="", "", IF(F13="-", FALSE, IF(F13&lt;=14.4, "PASS", "FAIL")))</f>
        <v/>
      </c>
      <c r="H13" s="12"/>
      <c r="I13" s="11" t="str">
        <f>IF(H13="", "", IF(H13="-", FALSE, IF(H13&lt;=14.4, "PASS", "FAIL")))</f>
        <v/>
      </c>
    </row>
    <row r="14" spans="1:9" x14ac:dyDescent="0.2">
      <c r="A14" s="28"/>
    </row>
    <row r="15" spans="1:9" x14ac:dyDescent="0.2">
      <c r="A15" s="28"/>
    </row>
    <row r="16" spans="1:9" x14ac:dyDescent="0.2">
      <c r="A16" s="28"/>
    </row>
    <row r="17" spans="1:10" x14ac:dyDescent="0.2">
      <c r="A17" s="28"/>
    </row>
    <row r="18" spans="1:10" x14ac:dyDescent="0.2">
      <c r="A18" s="28"/>
    </row>
    <row r="19" spans="1:10" x14ac:dyDescent="0.2">
      <c r="A19" s="28"/>
    </row>
    <row r="20" spans="1:10" x14ac:dyDescent="0.2">
      <c r="A20" s="28"/>
    </row>
    <row r="21" spans="1:10" x14ac:dyDescent="0.2">
      <c r="A21" s="28"/>
    </row>
    <row r="22" spans="1:10" x14ac:dyDescent="0.2">
      <c r="A22" s="28"/>
    </row>
    <row r="23" spans="1:10" x14ac:dyDescent="0.2">
      <c r="A23" s="28"/>
    </row>
    <row r="24" spans="1:10" x14ac:dyDescent="0.2">
      <c r="A24" s="28"/>
    </row>
    <row r="25" spans="1:10" ht="15" x14ac:dyDescent="0.25">
      <c r="A25" s="28"/>
      <c r="C25" s="24"/>
      <c r="J25" s="24"/>
    </row>
    <row r="26" spans="1:10" x14ac:dyDescent="0.2">
      <c r="A26" s="28"/>
    </row>
    <row r="27" spans="1:10" x14ac:dyDescent="0.2">
      <c r="A27" s="28"/>
    </row>
    <row r="28" spans="1:10" x14ac:dyDescent="0.2">
      <c r="A28" s="28"/>
    </row>
    <row r="29" spans="1:10" x14ac:dyDescent="0.2">
      <c r="A29" s="28"/>
    </row>
    <row r="30" spans="1:10" x14ac:dyDescent="0.2">
      <c r="A30" s="28"/>
    </row>
    <row r="31" spans="1:10" x14ac:dyDescent="0.2">
      <c r="A31" s="28"/>
    </row>
    <row r="32" spans="1:10" x14ac:dyDescent="0.2">
      <c r="A32" s="28"/>
    </row>
    <row r="33" spans="1:1" x14ac:dyDescent="0.2">
      <c r="A33" s="28"/>
    </row>
    <row r="34" spans="1:1" x14ac:dyDescent="0.2">
      <c r="A34" s="28"/>
    </row>
    <row r="35" spans="1:1" x14ac:dyDescent="0.2">
      <c r="A35" s="28"/>
    </row>
    <row r="36" spans="1:1" x14ac:dyDescent="0.2">
      <c r="A36" s="28"/>
    </row>
    <row r="37" spans="1:1" x14ac:dyDescent="0.2">
      <c r="A37" s="28"/>
    </row>
    <row r="38" spans="1:1" x14ac:dyDescent="0.2">
      <c r="A38" s="28"/>
    </row>
    <row r="39" spans="1:1" x14ac:dyDescent="0.2">
      <c r="A39" s="28"/>
    </row>
    <row r="40" spans="1:1" x14ac:dyDescent="0.2">
      <c r="A40" s="28"/>
    </row>
    <row r="41" spans="1:1" x14ac:dyDescent="0.2">
      <c r="A41" s="28"/>
    </row>
    <row r="42" spans="1:1" x14ac:dyDescent="0.2">
      <c r="A42" s="28"/>
    </row>
    <row r="43" spans="1:1" x14ac:dyDescent="0.2">
      <c r="A43" s="28"/>
    </row>
    <row r="44" spans="1:1" x14ac:dyDescent="0.2">
      <c r="A44" s="28"/>
    </row>
    <row r="45" spans="1:1" x14ac:dyDescent="0.2">
      <c r="A45" s="28"/>
    </row>
    <row r="46" spans="1:1" x14ac:dyDescent="0.2">
      <c r="A46" s="28"/>
    </row>
    <row r="47" spans="1:1" x14ac:dyDescent="0.2">
      <c r="A47" s="28"/>
    </row>
    <row r="48" spans="1:1" x14ac:dyDescent="0.2">
      <c r="A48" s="28"/>
    </row>
    <row r="49" spans="1:1" x14ac:dyDescent="0.2">
      <c r="A49" s="28"/>
    </row>
    <row r="50" spans="1:1" x14ac:dyDescent="0.2">
      <c r="A50" s="25"/>
    </row>
    <row r="51" spans="1:1" x14ac:dyDescent="0.2">
      <c r="A51" s="25"/>
    </row>
    <row r="52" spans="1:1" x14ac:dyDescent="0.2">
      <c r="A52" s="25"/>
    </row>
    <row r="53" spans="1:1" ht="15" thickBot="1" x14ac:dyDescent="0.25">
      <c r="A53" s="26"/>
    </row>
  </sheetData>
  <mergeCells count="18">
    <mergeCell ref="D1:I1"/>
    <mergeCell ref="D2:E2"/>
    <mergeCell ref="F2:G2"/>
    <mergeCell ref="H2:I2"/>
    <mergeCell ref="C2:C4"/>
    <mergeCell ref="B2:B13"/>
    <mergeCell ref="H8:I8"/>
    <mergeCell ref="D11:E11"/>
    <mergeCell ref="F11:G11"/>
    <mergeCell ref="H11:I11"/>
    <mergeCell ref="D5:E5"/>
    <mergeCell ref="F5:G5"/>
    <mergeCell ref="H5:I5"/>
    <mergeCell ref="C5:C7"/>
    <mergeCell ref="C8:C10"/>
    <mergeCell ref="C11:C13"/>
    <mergeCell ref="D8:E8"/>
    <mergeCell ref="F8:G8"/>
  </mergeCells>
  <conditionalFormatting sqref="C5">
    <cfRule type="containsText" dxfId="16" priority="68" operator="containsText" text="PASS">
      <formula>NOT(ISERROR(SEARCH("PASS",C5)))</formula>
    </cfRule>
    <cfRule type="containsText" dxfId="15" priority="69" operator="containsText" text="DELAY">
      <formula>NOT(ISERROR(SEARCH("DELAY",C5)))</formula>
    </cfRule>
    <cfRule type="containsText" dxfId="14" priority="70" operator="containsText" text="FALSE">
      <formula>NOT(ISERROR(SEARCH("FALSE",C5)))</formula>
    </cfRule>
  </conditionalFormatting>
  <conditionalFormatting sqref="C8">
    <cfRule type="containsText" dxfId="13" priority="65" operator="containsText" text="PASS">
      <formula>NOT(ISERROR(SEARCH("PASS",C8)))</formula>
    </cfRule>
    <cfRule type="containsText" dxfId="12" priority="66" operator="containsText" text="DELAY">
      <formula>NOT(ISERROR(SEARCH("DELAY",C8)))</formula>
    </cfRule>
    <cfRule type="containsText" dxfId="11" priority="67" operator="containsText" text="FALSE">
      <formula>NOT(ISERROR(SEARCH("FALSE",C8)))</formula>
    </cfRule>
  </conditionalFormatting>
  <conditionalFormatting sqref="C11">
    <cfRule type="containsText" dxfId="10" priority="62" operator="containsText" text="PASS">
      <formula>NOT(ISERROR(SEARCH("PASS",C11)))</formula>
    </cfRule>
    <cfRule type="containsText" dxfId="9" priority="63" operator="containsText" text="DELAY">
      <formula>NOT(ISERROR(SEARCH("DELAY",C11)))</formula>
    </cfRule>
    <cfRule type="containsText" dxfId="8" priority="64" operator="containsText" text="FALSE">
      <formula>NOT(ISERROR(SEARCH("FALSE",C11)))</formula>
    </cfRule>
  </conditionalFormatting>
  <conditionalFormatting sqref="D1 B2:C2 D2:I3 D5:I6">
    <cfRule type="containsText" dxfId="7" priority="127" operator="containsText" text="PASS">
      <formula>NOT(ISERROR(SEARCH("PASS",B1)))</formula>
    </cfRule>
    <cfRule type="containsText" dxfId="6" priority="130" operator="containsText" text="DELAY">
      <formula>NOT(ISERROR(SEARCH("DELAY",B1)))</formula>
    </cfRule>
    <cfRule type="containsText" dxfId="5" priority="131" operator="containsText" text="FALSE">
      <formula>NOT(ISERROR(SEARCH("FALSE",B1)))</formula>
    </cfRule>
  </conditionalFormatting>
  <conditionalFormatting sqref="D8:I9">
    <cfRule type="containsText" dxfId="4" priority="59" operator="containsText" text="PASS">
      <formula>NOT(ISERROR(SEARCH("PASS",D8)))</formula>
    </cfRule>
    <cfRule type="containsText" dxfId="3" priority="60" operator="containsText" text="DELAY">
      <formula>NOT(ISERROR(SEARCH("DELAY",D8)))</formula>
    </cfRule>
    <cfRule type="containsText" dxfId="2" priority="61" operator="containsText" text="FALSE">
      <formula>NOT(ISERROR(SEARCH("FALSE",D8)))</formula>
    </cfRule>
  </conditionalFormatting>
  <conditionalFormatting sqref="E4 G4 I4 E7 G7 I7 E10 G10 I10 E13 G13 I13">
    <cfRule type="containsText" dxfId="1" priority="1" operator="containsText" text="FAIL">
      <formula>NOT(ISERROR(SEARCH("FAIL",E4)))</formula>
    </cfRule>
    <cfRule type="containsText" dxfId="0" priority="2" operator="containsText" text="PASS">
      <formula>NOT(ISERROR(SEARCH("PASS",E4)))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DISTRACTION</vt:lpstr>
      <vt:lpstr>FATIGUE</vt:lpstr>
      <vt:lpstr>OCCLUSION</vt:lpstr>
      <vt:lpstr>UNRESPONSIVE DRIVER</vt:lpstr>
    </vt:vector>
  </TitlesOfParts>
  <Manager>James Jackson</Manager>
  <Company>Applus+ IDIADA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DSM Test Results</dc:title>
  <dc:subject/>
  <dc:creator>Human Factors;Dídac Martín Pérez</dc:creator>
  <cp:keywords/>
  <dc:description/>
  <cp:lastModifiedBy>Didac Martin</cp:lastModifiedBy>
  <cp:revision/>
  <dcterms:created xsi:type="dcterms:W3CDTF">2023-05-15T08:06:37Z</dcterms:created>
  <dcterms:modified xsi:type="dcterms:W3CDTF">2026-04-07T13:51:07Z</dcterms:modified>
  <cp:category/>
  <cp:contentStatus/>
  <cp:version>1.0</cp:version>
</cp:coreProperties>
</file>